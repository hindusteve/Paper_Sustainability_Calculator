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Default Extension="jpeg" ContentType="image/jpeg"/>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1.xml" ContentType="application/vnd.ms-excel.controlproperties+xml"/>
  <Override PartName="/xl/ctrlProps/ctrlProp6.xml" ContentType="application/vnd.ms-excel.controlproperties+xml"/>
  <Override PartName="/xl/ctrlProps/ctrlProp5.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7800" yWindow="0" windowWidth="15150" windowHeight="11760" tabRatio="433"/>
  </bookViews>
  <sheets>
    <sheet name="Balanced Scorecard Landing Page" sheetId="9" r:id="rId1"/>
    <sheet name="Office Paper" sheetId="1" r:id="rId2"/>
    <sheet name="Office Paper Data Inputs" sheetId="5" r:id="rId3"/>
    <sheet name="Office Paper Impact" sheetId="10" r:id="rId4"/>
    <sheet name="Ratings Explanation" sheetId="7" r:id="rId5"/>
    <sheet name="Sheet1" sheetId="11" r:id="rId6"/>
    <sheet name="Office Paper Settings" sheetId="3" r:id="rId7"/>
  </sheets>
  <definedNames>
    <definedName name="BleachingProcess">'Office Paper Settings'!$D$17:$D$20</definedName>
    <definedName name="Certification">'Office Paper Settings'!$D$23:$D$26</definedName>
    <definedName name="GW_Top_Paper_Products">'Office Paper'!$B$2:$K$2</definedName>
    <definedName name="GW_Top_Papers">'Office Paper'!$B$2:$J$2</definedName>
    <definedName name="Total_Components_Weight">'Office Paper Settings'!$B$3:$B$5</definedName>
    <definedName name="Total_CustomerCo_Weight">'Office Paper Settings'!$B$9:$B$12</definedName>
    <definedName name="Total_EnvironmentalCo_Weight">'Office Paper Settings'!$B$16:$B$23</definedName>
    <definedName name="Total_SocialCo_Weight">'Office Paper Settings'!$B$27:$B$28</definedName>
  </definedNames>
  <calcPr calcId="125725"/>
</workbook>
</file>

<file path=xl/calcChain.xml><?xml version="1.0" encoding="utf-8"?>
<calcChain xmlns="http://schemas.openxmlformats.org/spreadsheetml/2006/main">
  <c r="D4" i="1"/>
  <c r="D3" i="5" s="1"/>
  <c r="C4" i="1"/>
  <c r="B4"/>
  <c r="B3" i="5" s="1"/>
  <c r="C3"/>
  <c r="K19" i="1" l="1"/>
  <c r="J19"/>
  <c r="I19"/>
  <c r="H19"/>
  <c r="G19"/>
  <c r="F19"/>
  <c r="E19"/>
  <c r="D19"/>
  <c r="C19"/>
  <c r="B19"/>
  <c r="K18"/>
  <c r="J18"/>
  <c r="I18"/>
  <c r="H18"/>
  <c r="G18"/>
  <c r="F18"/>
  <c r="E18"/>
  <c r="D18"/>
  <c r="C18"/>
  <c r="B18"/>
  <c r="K17" l="1"/>
  <c r="K11"/>
  <c r="K10"/>
  <c r="K9"/>
  <c r="K7"/>
  <c r="K6"/>
  <c r="K5"/>
  <c r="K8" i="5" l="1"/>
  <c r="K8" i="1" s="1"/>
  <c r="K17" i="5"/>
  <c r="J17" l="1"/>
  <c r="I17"/>
  <c r="H17"/>
  <c r="G17"/>
  <c r="G5" i="1" l="1"/>
  <c r="J6" l="1"/>
  <c r="H4"/>
  <c r="H3" i="5" s="1"/>
  <c r="I4" i="1"/>
  <c r="I3" i="5" s="1"/>
  <c r="B6" i="1"/>
  <c r="B5"/>
  <c r="C6"/>
  <c r="C5"/>
  <c r="D6"/>
  <c r="D5"/>
  <c r="E6"/>
  <c r="E5"/>
  <c r="F6"/>
  <c r="F5"/>
  <c r="G6"/>
  <c r="H6"/>
  <c r="H5"/>
  <c r="J5"/>
  <c r="I6"/>
  <c r="I5"/>
  <c r="I7"/>
  <c r="G7"/>
  <c r="E7"/>
  <c r="C7"/>
  <c r="J7"/>
  <c r="H7"/>
  <c r="F7"/>
  <c r="D7"/>
  <c r="B7"/>
  <c r="F17" i="5"/>
  <c r="E17"/>
  <c r="D17"/>
  <c r="C17"/>
  <c r="B17"/>
  <c r="I3" i="1" l="1"/>
  <c r="H3"/>
  <c r="J11"/>
  <c r="I11"/>
  <c r="H11"/>
  <c r="G11"/>
  <c r="F11"/>
  <c r="E11"/>
  <c r="D11"/>
  <c r="C11"/>
  <c r="J10"/>
  <c r="I10"/>
  <c r="H10"/>
  <c r="G10"/>
  <c r="F10"/>
  <c r="E10"/>
  <c r="D10"/>
  <c r="C10"/>
  <c r="J17"/>
  <c r="I17"/>
  <c r="H17"/>
  <c r="G17"/>
  <c r="F17"/>
  <c r="E17"/>
  <c r="J9"/>
  <c r="I9"/>
  <c r="H9"/>
  <c r="H8" i="5" s="1"/>
  <c r="H8" i="1" s="1"/>
  <c r="H20" i="5" s="1"/>
  <c r="G9" i="1"/>
  <c r="F9"/>
  <c r="E9"/>
  <c r="D9"/>
  <c r="C9"/>
  <c r="C17"/>
  <c r="D17"/>
  <c r="B29" i="3"/>
  <c r="B24"/>
  <c r="B13"/>
  <c r="B17" i="1"/>
  <c r="B11"/>
  <c r="B10"/>
  <c r="B9"/>
  <c r="D7" i="3"/>
  <c r="D6"/>
  <c r="D5"/>
  <c r="D4"/>
  <c r="D3"/>
  <c r="B6"/>
  <c r="K4" i="1" l="1"/>
  <c r="K3" i="5" s="1"/>
  <c r="G8"/>
  <c r="G8" i="1" s="1"/>
  <c r="D8" i="5"/>
  <c r="D8" i="1" s="1"/>
  <c r="C8" i="5"/>
  <c r="C8" i="1" s="1"/>
  <c r="E4"/>
  <c r="E3" i="5" s="1"/>
  <c r="J4" i="1"/>
  <c r="J3" i="5" s="1"/>
  <c r="F4" i="1"/>
  <c r="F3" i="5" s="1"/>
  <c r="G4" i="1"/>
  <c r="G3" i="5" s="1"/>
  <c r="F8"/>
  <c r="F8" i="1" s="1"/>
  <c r="J8" i="5"/>
  <c r="J8" i="1" s="1"/>
  <c r="B8" i="5"/>
  <c r="B8" i="1" s="1"/>
  <c r="E8" i="5"/>
  <c r="E8" i="1" s="1"/>
  <c r="I8" i="5"/>
  <c r="I8" i="1" s="1"/>
  <c r="H20"/>
  <c r="K3" l="1"/>
  <c r="K20" s="1"/>
  <c r="K20" i="5"/>
  <c r="D3" i="1"/>
  <c r="D20" s="1"/>
  <c r="D20" i="5"/>
  <c r="I20" i="1"/>
  <c r="I20" i="5"/>
  <c r="G3" i="1"/>
  <c r="G20" s="1"/>
  <c r="G20" i="5"/>
  <c r="J3" i="1"/>
  <c r="J20" s="1"/>
  <c r="J20" i="5"/>
  <c r="E3" i="1"/>
  <c r="E20" s="1"/>
  <c r="E20" i="5"/>
  <c r="C3" i="1"/>
  <c r="C20" i="5"/>
  <c r="F3" i="1"/>
  <c r="F20" s="1"/>
  <c r="F20" i="5"/>
  <c r="C20" i="1"/>
  <c r="B3" l="1"/>
  <c r="B20" s="1"/>
  <c r="B20" i="5"/>
</calcChain>
</file>

<file path=xl/comments1.xml><?xml version="1.0" encoding="utf-8"?>
<comments xmlns="http://schemas.openxmlformats.org/spreadsheetml/2006/main">
  <authors>
    <author>Abhijit</author>
  </authors>
  <commentList>
    <comment ref="D24" authorId="0">
      <text>
        <r>
          <rPr>
            <b/>
            <sz val="9"/>
            <color indexed="81"/>
            <rFont val="Tahoma"/>
            <family val="2"/>
          </rPr>
          <t>Abhijit:</t>
        </r>
        <r>
          <rPr>
            <sz val="9"/>
            <color indexed="81"/>
            <rFont val="Tahoma"/>
            <family val="2"/>
          </rPr>
          <t xml:space="preserve">
SFI is the sustainable Forestry initiative - founded and funded by the wood and paper industry</t>
        </r>
      </text>
    </comment>
  </commentList>
</comments>
</file>

<file path=xl/sharedStrings.xml><?xml version="1.0" encoding="utf-8"?>
<sst xmlns="http://schemas.openxmlformats.org/spreadsheetml/2006/main" count="175" uniqueCount="83">
  <si>
    <t>Environmental</t>
  </si>
  <si>
    <t>Social</t>
  </si>
  <si>
    <t>Price</t>
  </si>
  <si>
    <t>% Recycled Content</t>
  </si>
  <si>
    <r>
      <t>CO</t>
    </r>
    <r>
      <rPr>
        <vertAlign val="subscript"/>
        <sz val="11"/>
        <color theme="1"/>
        <rFont val="Calibri"/>
        <family val="2"/>
        <scheme val="minor"/>
      </rPr>
      <t>2</t>
    </r>
    <r>
      <rPr>
        <sz val="11"/>
        <color theme="1"/>
        <rFont val="Calibri"/>
        <family val="2"/>
        <scheme val="minor"/>
      </rPr>
      <t xml:space="preserve"> Reduction Contribution</t>
    </r>
  </si>
  <si>
    <t>Total Score</t>
  </si>
  <si>
    <t>Customer Metrics</t>
  </si>
  <si>
    <t>Employee Satisfaction</t>
  </si>
  <si>
    <t>Availability</t>
  </si>
  <si>
    <t>Traceability</t>
  </si>
  <si>
    <t>Water Usage</t>
  </si>
  <si>
    <t>Energy Use</t>
  </si>
  <si>
    <t>Bleaching Process</t>
  </si>
  <si>
    <t>Recycled Content:</t>
  </si>
  <si>
    <t>Bleaching Process:</t>
  </si>
  <si>
    <t>Chlorine Bleached</t>
  </si>
  <si>
    <t>Total Chlorine Free</t>
  </si>
  <si>
    <t>Processed Chlorine Free</t>
  </si>
  <si>
    <t>Elemental Chlorine Free</t>
  </si>
  <si>
    <t>Certified Source</t>
  </si>
  <si>
    <t>Certification:</t>
  </si>
  <si>
    <t>FSC</t>
  </si>
  <si>
    <t>SFI</t>
  </si>
  <si>
    <t>CSA</t>
  </si>
  <si>
    <t>None</t>
  </si>
  <si>
    <t>Sustainably Sourced</t>
  </si>
  <si>
    <t>WEIGHTS</t>
  </si>
  <si>
    <t>Sum</t>
  </si>
  <si>
    <t>Ease of Use</t>
  </si>
  <si>
    <t>Overall</t>
  </si>
  <si>
    <t>Environmental Metrics</t>
  </si>
  <si>
    <t>Social Metrics</t>
  </si>
  <si>
    <t>Office Paper Base Price</t>
  </si>
  <si>
    <t>Score</t>
  </si>
  <si>
    <t>%</t>
  </si>
  <si>
    <t>Explanation</t>
  </si>
  <si>
    <t xml:space="preserve">This subcategory compares the price of alternative paper products against the price of the baseline product currently in use.  For each 20% increase in price above the baseline price, the product being considered is scored one point lower.  A rating of 6 is the best, with a score of 1 being equivalent to a 100% or greater increase.  </t>
  </si>
  <si>
    <t>Category/Subcategory</t>
  </si>
  <si>
    <t>This subcategory is based upon user feedback and ratings for a given product.  A green score (6, 5) indicates no user issues, whereas a red score (2, 1) may indicate issues with use in office copiers or printers.</t>
  </si>
  <si>
    <t>This subcategory reflects how widely available the product is, with a 6 indicating that it is readily available via iBuy, and a 1 indicating that the product is not available in iBuy and the user must go outside standard purchasing channels.</t>
  </si>
  <si>
    <t>This subcategory is based upon user feedback within the department using/purchasing the paper product.  A score of 6 indicates complete satisfaction, whereas a score of 1 reflects high dissatisfaction.</t>
  </si>
  <si>
    <t>Conditions for Workers</t>
  </si>
  <si>
    <t>Supplier Meets Minority Promotion Goals</t>
  </si>
  <si>
    <t>This category reflects the economic component of the balanced scorecard.  It assesses both quantitative measures such as price, as well as less tangible aspects such as user satisfaction and ease of acquisition.  These subcategories tie into the the traditional business aspect of a product.</t>
  </si>
  <si>
    <t>This  category reflects the environmental component of the balanced scorecard.  It assesses quantitative measures (such as % recycled content, etc.) of aspects of the product that affect the carbon footprint and other enviromental impacts of the university.  Higher scoring products can help the university make progress towards its various sustainability goals (such as the Climate Action Plan or Ecosystems Plan)</t>
  </si>
  <si>
    <t>This subcategory assesses how much of the paper's composition derives from recycled content (0, 30, 50 or 100).  The more recycled content that is utilized, the fewer trees that are cut for virgin fiber, resulting in an impact on carbon dioxide levels in the atmosphere.  Therefore, this dimension has an impact on the university's carbon neutrality goals.</t>
  </si>
  <si>
    <t xml:space="preserve">This subcategory rates the paper based on the bleaching process used.  The bleaching of pulp with chlorine or chlorine-based chemicals results in the emission of hazardous chlorinated compounds.  Paper that has been bleached without any chlorine or chlorine based chemicals are the best alternatives.  </t>
  </si>
  <si>
    <t>This  category reflects the social component of the balanced scorecard.  It assesses qualitative measures of production of the product (conditions fo rworkers in the value chain, extent to which the vendor represents a minority basis).</t>
  </si>
  <si>
    <t>This balanced scorecard is designed to help purchasers at the univeristy make procurment decisions with a greater degree of information regarding how the product contributes to the university's sustainability goals.  It incorporates a triple bottom line methodology in assessing products, considering economic, environmental and social factors when rating products.  In general, all categories and subcategories are rated on a scale of 1 to 6, with lower scores reflecting a less than desireable choice for the given metric, and a higher score reflecting a desireable choice.  Therefore, a score of 5 or 6 corresponds to a green circle, and score of 3 or 4 corresponds to a yellow triangle, and a score of 1 or 2 corresponds to a red square.</t>
  </si>
  <si>
    <t>This subcategory assesses the degree to which utilization of the vendor helps the university meet its diversity goals for suppliers.</t>
  </si>
  <si>
    <t>This subcategory rates the product based on conditions of the mill/factory that provided the product to the immediate supplier.</t>
  </si>
  <si>
    <t>Savings Calculations</t>
  </si>
  <si>
    <t>CO2</t>
  </si>
  <si>
    <t>Energy</t>
  </si>
  <si>
    <t>Water</t>
  </si>
  <si>
    <t>Solid Waste</t>
  </si>
  <si>
    <t>Cost</t>
  </si>
  <si>
    <t>Above Average Rating</t>
  </si>
  <si>
    <t>Average Rating</t>
  </si>
  <si>
    <t>Below Average Rating</t>
  </si>
  <si>
    <t>Symbol Legend</t>
  </si>
  <si>
    <r>
      <rPr>
        <b/>
        <sz val="14"/>
        <color theme="1"/>
        <rFont val="Calibri"/>
        <family val="2"/>
        <scheme val="minor"/>
      </rPr>
      <t>Scorecard Use - Enabling Macros Instructions</t>
    </r>
    <r>
      <rPr>
        <sz val="11"/>
        <color theme="1"/>
        <rFont val="Calibri"/>
        <family val="2"/>
        <scheme val="minor"/>
      </rPr>
      <t xml:space="preserve">
1) Click File (or the Office Button), then select Options
2) Select 'Trust Center' from the left pane of the window that opens.
3) Select the 'Trust Center Settings' button
4) Under the Macro Settings section, ensure that the 4th radio button (Enable all macros) is selected
5) Select the 'OK' button to close the window, then 'OK' again. 
6) You will need to close and reopen Excel for the changes to take effect.
You should now be able to use the GW Paper Balanced Scorecard.
(These instructions are for Excel 2010.  The steps for enabling macros in prior versions of Excel are similar. If necessary, users should do an internet search for directions on enabling macros).</t>
    </r>
  </si>
  <si>
    <t>Alternative 1</t>
  </si>
  <si>
    <t>Alternative 2</t>
  </si>
  <si>
    <t>Staples® 30% Recycled Copy Paper, 8.5X11, 92/104 US/Euro Brightness, 20 lb., (SKU: 492072)</t>
  </si>
  <si>
    <t>Staples® 100% Recycled Copy Paper, 8.5X11, 90/100 US/Euro Brightness, 20 lb., (SKU: 620014)</t>
  </si>
  <si>
    <t>Staples® Multipurpose Paper, 8.5X11, 96/108 US/Euro Brightness, 20 lb., (SKU: 513096)</t>
  </si>
  <si>
    <t>HP Multi-Purpose Paper, 8.5X11, 96/108+ US/Euro Brightness, 20 lb., (SKU: 814178)</t>
  </si>
  <si>
    <t>Staples® 50% Recycled Multipurpose Paper, 8.5X11, 96/109+ US/Euro Brightness, 24 lb., (SKU: 756860)</t>
  </si>
  <si>
    <t>Staples® Bright White Multiuse Paper, 8.5X11, 98/110 US/Euro Brightness, 22 lb., (SKU: 649243)</t>
  </si>
  <si>
    <t>Staples® 30% Recycled Copy Paper, 8.5X11, 92/104 US/Euro Brightness, (SKU: 492071)</t>
  </si>
  <si>
    <t>* All products are in 5000 sheet quantities</t>
  </si>
  <si>
    <t xml:space="preserve">
* All products are in 5000 sheet quantities</t>
  </si>
  <si>
    <t>Staples® 30% Recycled Multipurpose Paper, 8.5X11, 96/109+ US/Euro Brightness, 20 lb., (SKU: 813903)</t>
  </si>
  <si>
    <t>Xerox® Business 4200 Series Premium Copy Paper, 8.5X11, 92/104+ US/Euro Brightness, 20 Lb., (SKU: 234062)</t>
  </si>
  <si>
    <t>Trees</t>
  </si>
  <si>
    <t>Hammermill Laser Print Paper, 8.5 X 11, 98/110+ US/Euro Brightness, 24 lb., (SKU: 406231)</t>
  </si>
  <si>
    <t>GW iBuy Top 10 Copy Paper Products</t>
  </si>
  <si>
    <t>Virgin Paper, 0% Recycled Copy Paper</t>
  </si>
  <si>
    <t>Virgin Paper (0% Recycled Content)</t>
  </si>
  <si>
    <t>Alternate Product 1</t>
  </si>
  <si>
    <t>Alternate Product 2</t>
  </si>
  <si>
    <t>Ratings for this subcategory are based on the ceritfier that has assessed the paper product.  Various certifiers assess different elements of the supply chain for the paper product (for example Forest Stewardship Council, Sustainable Forestry Initiative, etc.)</t>
  </si>
</sst>
</file>

<file path=xl/styles.xml><?xml version="1.0" encoding="utf-8"?>
<styleSheet xmlns="http://schemas.openxmlformats.org/spreadsheetml/2006/main">
  <numFmts count="3">
    <numFmt numFmtId="44" formatCode="_(&quot;$&quot;* #,##0.00_);_(&quot;$&quot;* \(#,##0.00\);_(&quot;$&quot;* &quot;-&quot;??_);_(@_)"/>
    <numFmt numFmtId="164" formatCode=";;;"/>
    <numFmt numFmtId="165" formatCode="0.0"/>
  </numFmts>
  <fonts count="11">
    <font>
      <sz val="11"/>
      <color theme="1"/>
      <name val="Calibri"/>
      <family val="2"/>
      <scheme val="minor"/>
    </font>
    <font>
      <b/>
      <sz val="11"/>
      <color theme="1"/>
      <name val="Calibri"/>
      <family val="2"/>
      <scheme val="minor"/>
    </font>
    <font>
      <vertAlign val="subscript"/>
      <sz val="11"/>
      <color theme="1"/>
      <name val="Calibri"/>
      <family val="2"/>
      <scheme val="minor"/>
    </font>
    <font>
      <sz val="11"/>
      <color theme="1"/>
      <name val="Calibri"/>
      <family val="2"/>
      <scheme val="minor"/>
    </font>
    <font>
      <i/>
      <sz val="11"/>
      <color theme="1"/>
      <name val="Calibri"/>
      <family val="2"/>
      <scheme val="minor"/>
    </font>
    <font>
      <sz val="9"/>
      <color indexed="81"/>
      <name val="Tahoma"/>
      <family val="2"/>
    </font>
    <font>
      <b/>
      <sz val="9"/>
      <color indexed="81"/>
      <name val="Tahoma"/>
      <family val="2"/>
    </font>
    <font>
      <b/>
      <sz val="14"/>
      <color theme="1"/>
      <name val="Calibri"/>
      <family val="2"/>
      <scheme val="minor"/>
    </font>
    <font>
      <b/>
      <sz val="11"/>
      <color theme="0"/>
      <name val="Calibri"/>
      <family val="2"/>
      <scheme val="minor"/>
    </font>
    <font>
      <sz val="11"/>
      <color rgb="FF000000"/>
      <name val="Calibri"/>
      <family val="2"/>
      <scheme val="minor"/>
    </font>
    <font>
      <sz val="11"/>
      <color indexed="8"/>
      <name val="Calibri"/>
      <family val="2"/>
      <scheme val="minor"/>
    </font>
  </fonts>
  <fills count="9">
    <fill>
      <patternFill patternType="none"/>
    </fill>
    <fill>
      <patternFill patternType="gray125"/>
    </fill>
    <fill>
      <patternFill patternType="solid">
        <fgColor rgb="FFFFFF66"/>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rgb="FF002060"/>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s>
  <cellStyleXfs count="2">
    <xf numFmtId="0" fontId="0" fillId="0" borderId="0"/>
    <xf numFmtId="44" fontId="3" fillId="0" borderId="0" applyFont="0" applyFill="0" applyBorder="0" applyAlignment="0" applyProtection="0"/>
  </cellStyleXfs>
  <cellXfs count="106">
    <xf numFmtId="0" fontId="0" fillId="0" borderId="0" xfId="0"/>
    <xf numFmtId="0" fontId="0" fillId="0" borderId="0" xfId="0" applyAlignment="1">
      <alignment vertical="top" wrapText="1"/>
    </xf>
    <xf numFmtId="0" fontId="0" fillId="0" borderId="1" xfId="0" applyBorder="1" applyAlignment="1">
      <alignment vertical="top" wrapText="1"/>
    </xf>
    <xf numFmtId="0" fontId="1" fillId="0" borderId="0" xfId="0" applyFont="1"/>
    <xf numFmtId="44" fontId="0" fillId="0" borderId="0" xfId="1" applyFont="1"/>
    <xf numFmtId="0" fontId="0" fillId="0" borderId="1" xfId="0" applyBorder="1" applyAlignment="1">
      <alignment vertical="center"/>
    </xf>
    <xf numFmtId="0" fontId="4" fillId="0" borderId="1" xfId="0" applyFont="1" applyBorder="1" applyAlignment="1">
      <alignment vertical="center"/>
    </xf>
    <xf numFmtId="0" fontId="0" fillId="0" borderId="0" xfId="0" applyAlignment="1">
      <alignment vertical="center"/>
    </xf>
    <xf numFmtId="0" fontId="1" fillId="0" borderId="0" xfId="0" applyFont="1" applyAlignment="1">
      <alignment vertical="center"/>
    </xf>
    <xf numFmtId="44" fontId="0" fillId="0" borderId="0" xfId="1" applyFont="1" applyAlignment="1">
      <alignment vertical="center"/>
    </xf>
    <xf numFmtId="0" fontId="0" fillId="0" borderId="1" xfId="0" applyBorder="1" applyAlignment="1">
      <alignment vertical="center" wrapText="1"/>
    </xf>
    <xf numFmtId="0" fontId="1" fillId="0" borderId="0" xfId="0" applyFont="1" applyFill="1" applyBorder="1" applyAlignment="1">
      <alignment vertical="center" wrapText="1"/>
    </xf>
    <xf numFmtId="0" fontId="0" fillId="0" borderId="2" xfId="0" applyBorder="1" applyAlignment="1">
      <alignment horizontal="left" vertical="center" wrapText="1"/>
    </xf>
    <xf numFmtId="0" fontId="1" fillId="0" borderId="10" xfId="0" applyFont="1" applyBorder="1"/>
    <xf numFmtId="0" fontId="1" fillId="2" borderId="10" xfId="0" applyFont="1" applyFill="1" applyBorder="1"/>
    <xf numFmtId="0" fontId="0" fillId="2" borderId="11" xfId="0" applyFill="1" applyBorder="1" applyAlignment="1">
      <alignment vertical="top" wrapText="1"/>
    </xf>
    <xf numFmtId="0" fontId="0" fillId="2" borderId="8" xfId="0" applyFill="1" applyBorder="1" applyAlignment="1">
      <alignment horizontal="left" vertical="center" wrapText="1"/>
    </xf>
    <xf numFmtId="0" fontId="0" fillId="2" borderId="9" xfId="0" applyFill="1" applyBorder="1" applyAlignment="1">
      <alignment vertical="top" wrapText="1"/>
    </xf>
    <xf numFmtId="0" fontId="0" fillId="2" borderId="6" xfId="0" applyFill="1" applyBorder="1" applyAlignment="1">
      <alignment vertical="top" wrapText="1"/>
    </xf>
    <xf numFmtId="0" fontId="0" fillId="2" borderId="7" xfId="0" applyFill="1" applyBorder="1" applyAlignment="1">
      <alignment vertical="top" wrapText="1"/>
    </xf>
    <xf numFmtId="0" fontId="1" fillId="3" borderId="10" xfId="0" applyFont="1" applyFill="1" applyBorder="1" applyAlignment="1">
      <alignment vertical="top" wrapText="1"/>
    </xf>
    <xf numFmtId="0" fontId="0" fillId="3" borderId="11" xfId="0" applyFill="1" applyBorder="1" applyAlignment="1">
      <alignment horizontal="left" vertical="top" wrapText="1"/>
    </xf>
    <xf numFmtId="0" fontId="0" fillId="3" borderId="8" xfId="0" applyFill="1" applyBorder="1" applyAlignment="1">
      <alignment vertical="center" wrapText="1"/>
    </xf>
    <xf numFmtId="0" fontId="0" fillId="3" borderId="9" xfId="0" applyFill="1" applyBorder="1" applyAlignment="1">
      <alignment vertical="top" wrapText="1"/>
    </xf>
    <xf numFmtId="0" fontId="0" fillId="3" borderId="4" xfId="0" applyFill="1" applyBorder="1" applyAlignment="1">
      <alignment vertical="center" wrapText="1"/>
    </xf>
    <xf numFmtId="0" fontId="0" fillId="3" borderId="5" xfId="0" applyFill="1" applyBorder="1" applyAlignment="1">
      <alignment vertical="top" wrapText="1"/>
    </xf>
    <xf numFmtId="0" fontId="0" fillId="3" borderId="6" xfId="0" applyFill="1" applyBorder="1" applyAlignment="1">
      <alignment vertical="center" wrapText="1"/>
    </xf>
    <xf numFmtId="0" fontId="0" fillId="3" borderId="7" xfId="0" applyFill="1" applyBorder="1" applyAlignment="1">
      <alignment vertical="top" wrapText="1"/>
    </xf>
    <xf numFmtId="0" fontId="1" fillId="0" borderId="11" xfId="0" applyFont="1" applyBorder="1" applyAlignment="1">
      <alignment horizontal="left"/>
    </xf>
    <xf numFmtId="0" fontId="1" fillId="4" borderId="10" xfId="0" applyFont="1" applyFill="1" applyBorder="1" applyAlignment="1">
      <alignment vertical="top" wrapText="1"/>
    </xf>
    <xf numFmtId="0" fontId="0" fillId="4" borderId="11" xfId="0" applyFill="1" applyBorder="1" applyAlignment="1">
      <alignment horizontal="left" vertical="top" wrapText="1"/>
    </xf>
    <xf numFmtId="0" fontId="0" fillId="4" borderId="8" xfId="0" applyFill="1" applyBorder="1" applyAlignment="1">
      <alignment vertical="top" wrapText="1"/>
    </xf>
    <xf numFmtId="0" fontId="0" fillId="4" borderId="9" xfId="1" applyNumberFormat="1" applyFont="1" applyFill="1" applyBorder="1" applyAlignment="1">
      <alignment horizontal="left" vertical="top" wrapText="1"/>
    </xf>
    <xf numFmtId="0" fontId="0" fillId="4" borderId="4" xfId="0" applyFill="1" applyBorder="1" applyAlignment="1">
      <alignment vertical="top" wrapText="1"/>
    </xf>
    <xf numFmtId="0" fontId="0" fillId="4" borderId="5" xfId="0" applyNumberFormat="1" applyFill="1" applyBorder="1" applyAlignment="1">
      <alignment horizontal="left" vertical="top" wrapText="1"/>
    </xf>
    <xf numFmtId="0" fontId="0" fillId="4" borderId="5" xfId="0" applyFill="1" applyBorder="1" applyAlignment="1">
      <alignment horizontal="left" vertical="top" wrapText="1"/>
    </xf>
    <xf numFmtId="0" fontId="0" fillId="4" borderId="6" xfId="0" applyFill="1" applyBorder="1" applyAlignment="1">
      <alignment vertical="top" wrapText="1"/>
    </xf>
    <xf numFmtId="0" fontId="0" fillId="4" borderId="7" xfId="0" applyFill="1" applyBorder="1" applyAlignment="1">
      <alignment horizontal="left" vertical="top" wrapText="1"/>
    </xf>
    <xf numFmtId="0" fontId="0" fillId="0" borderId="1" xfId="0" applyBorder="1"/>
    <xf numFmtId="0" fontId="1" fillId="0" borderId="1" xfId="0" applyFont="1" applyBorder="1"/>
    <xf numFmtId="0" fontId="0" fillId="0" borderId="1" xfId="0" applyNumberFormat="1" applyBorder="1"/>
    <xf numFmtId="44" fontId="0" fillId="0" borderId="1" xfId="1" applyFont="1" applyBorder="1"/>
    <xf numFmtId="0" fontId="0" fillId="0" borderId="1" xfId="0" applyFill="1" applyBorder="1"/>
    <xf numFmtId="0" fontId="0" fillId="0" borderId="12" xfId="0" applyBorder="1" applyAlignment="1">
      <alignment vertical="top" wrapText="1"/>
    </xf>
    <xf numFmtId="165" fontId="0" fillId="0" borderId="0" xfId="0" applyNumberFormat="1"/>
    <xf numFmtId="0" fontId="0" fillId="5" borderId="17" xfId="0" applyFill="1" applyBorder="1" applyAlignment="1">
      <alignment horizontal="center" vertical="center"/>
    </xf>
    <xf numFmtId="0" fontId="0" fillId="5" borderId="17" xfId="0" applyNumberFormat="1" applyFill="1" applyBorder="1" applyAlignment="1">
      <alignment horizontal="center" vertical="center"/>
    </xf>
    <xf numFmtId="0" fontId="0" fillId="6" borderId="14" xfId="0" applyFill="1" applyBorder="1" applyAlignment="1">
      <alignment horizontal="center" vertical="center"/>
    </xf>
    <xf numFmtId="0" fontId="0" fillId="5" borderId="17" xfId="0" applyFill="1" applyBorder="1" applyAlignment="1">
      <alignment horizontal="center" vertical="center" wrapText="1"/>
    </xf>
    <xf numFmtId="0" fontId="0" fillId="5" borderId="18" xfId="0" applyNumberFormat="1" applyFill="1" applyBorder="1" applyAlignment="1">
      <alignment horizontal="center" vertical="center"/>
    </xf>
    <xf numFmtId="0" fontId="0" fillId="6" borderId="14" xfId="0" applyFill="1" applyBorder="1" applyAlignment="1">
      <alignment horizontal="center" vertical="center" wrapText="1"/>
    </xf>
    <xf numFmtId="0" fontId="0" fillId="6" borderId="19" xfId="0" applyFill="1" applyBorder="1" applyAlignment="1">
      <alignment horizontal="center" vertical="center"/>
    </xf>
    <xf numFmtId="0" fontId="1" fillId="0" borderId="3" xfId="0" applyFont="1" applyBorder="1" applyAlignment="1">
      <alignment horizontal="left" vertical="center" wrapText="1"/>
    </xf>
    <xf numFmtId="0" fontId="1" fillId="0" borderId="3" xfId="0" applyFont="1" applyBorder="1" applyAlignment="1">
      <alignment horizontal="left" vertical="top" wrapText="1"/>
    </xf>
    <xf numFmtId="0" fontId="0" fillId="0" borderId="2" xfId="0" applyBorder="1" applyAlignment="1">
      <alignment vertical="top" wrapText="1"/>
    </xf>
    <xf numFmtId="0" fontId="0" fillId="0" borderId="4" xfId="0" applyBorder="1" applyAlignment="1">
      <alignment horizontal="center" vertical="center"/>
    </xf>
    <xf numFmtId="0" fontId="0" fillId="0" borderId="6" xfId="0" applyBorder="1" applyAlignment="1">
      <alignment horizontal="center" vertical="center"/>
    </xf>
    <xf numFmtId="0" fontId="0" fillId="0" borderId="5" xfId="0" applyBorder="1" applyAlignment="1">
      <alignment vertical="center"/>
    </xf>
    <xf numFmtId="0" fontId="0" fillId="0" borderId="7" xfId="0" applyBorder="1" applyAlignment="1">
      <alignment vertical="center"/>
    </xf>
    <xf numFmtId="2" fontId="0" fillId="6" borderId="13" xfId="0" applyNumberFormat="1" applyFill="1" applyBorder="1" applyAlignment="1">
      <alignment horizontal="center" vertical="center"/>
    </xf>
    <xf numFmtId="0" fontId="0" fillId="0" borderId="0" xfId="0" applyAlignment="1">
      <alignment vertical="center" wrapText="1"/>
    </xf>
    <xf numFmtId="0" fontId="0" fillId="0" borderId="30" xfId="0" applyBorder="1" applyAlignment="1">
      <alignment vertical="top" wrapText="1"/>
    </xf>
    <xf numFmtId="0" fontId="0" fillId="5" borderId="18" xfId="0" applyFill="1" applyBorder="1" applyAlignment="1">
      <alignment horizontal="center" vertical="center"/>
    </xf>
    <xf numFmtId="0" fontId="0" fillId="0" borderId="31" xfId="0" applyBorder="1" applyAlignment="1">
      <alignment vertical="top" wrapText="1"/>
    </xf>
    <xf numFmtId="0" fontId="0" fillId="5" borderId="32" xfId="0" applyFill="1" applyBorder="1" applyAlignment="1">
      <alignment horizontal="center" vertical="center"/>
    </xf>
    <xf numFmtId="0" fontId="0" fillId="6" borderId="33" xfId="0" applyFill="1" applyBorder="1" applyAlignment="1">
      <alignment horizontal="center" vertical="center"/>
    </xf>
    <xf numFmtId="0" fontId="0" fillId="6" borderId="13" xfId="0" applyFill="1" applyBorder="1" applyAlignment="1">
      <alignment horizontal="center" vertical="center"/>
    </xf>
    <xf numFmtId="0" fontId="0" fillId="5" borderId="13" xfId="0" applyFill="1" applyBorder="1" applyAlignment="1">
      <alignment horizontal="center" vertical="center"/>
    </xf>
    <xf numFmtId="0" fontId="0" fillId="6" borderId="15" xfId="0" applyFill="1" applyBorder="1" applyAlignment="1">
      <alignment horizontal="center" vertical="center"/>
    </xf>
    <xf numFmtId="0" fontId="0" fillId="0" borderId="31" xfId="0" applyBorder="1" applyAlignment="1">
      <alignment horizontal="left" vertical="center" wrapText="1"/>
    </xf>
    <xf numFmtId="164" fontId="0" fillId="5" borderId="32" xfId="0" applyNumberFormat="1" applyFill="1" applyBorder="1" applyAlignment="1">
      <alignment horizontal="center" vertical="center"/>
    </xf>
    <xf numFmtId="0" fontId="0" fillId="6" borderId="33" xfId="0" applyNumberFormat="1" applyFill="1" applyBorder="1" applyAlignment="1">
      <alignment horizontal="center" vertical="center"/>
    </xf>
    <xf numFmtId="0" fontId="0" fillId="5" borderId="34" xfId="0" applyFill="1" applyBorder="1" applyAlignment="1">
      <alignment textRotation="57" wrapText="1"/>
    </xf>
    <xf numFmtId="0" fontId="0" fillId="6" borderId="21" xfId="0" applyFill="1" applyBorder="1" applyAlignment="1">
      <alignment textRotation="57" wrapText="1"/>
    </xf>
    <xf numFmtId="0" fontId="0" fillId="6" borderId="16" xfId="0" applyFill="1" applyBorder="1" applyAlignment="1">
      <alignment horizontal="left" textRotation="57" wrapText="1"/>
    </xf>
    <xf numFmtId="0" fontId="0" fillId="6" borderId="35" xfId="0" applyFill="1" applyBorder="1" applyAlignment="1">
      <alignment horizontal="center" vertical="center"/>
    </xf>
    <xf numFmtId="0" fontId="0" fillId="6" borderId="35" xfId="0" applyFill="1" applyBorder="1" applyAlignment="1">
      <alignment horizontal="center" vertical="center" wrapText="1"/>
    </xf>
    <xf numFmtId="0" fontId="0" fillId="6" borderId="36" xfId="0" applyFill="1" applyBorder="1" applyAlignment="1">
      <alignment horizontal="center" vertical="center"/>
    </xf>
    <xf numFmtId="2" fontId="0" fillId="5" borderId="13" xfId="0" applyNumberFormat="1" applyFill="1" applyBorder="1" applyAlignment="1">
      <alignment horizontal="center" vertical="center"/>
    </xf>
    <xf numFmtId="0" fontId="0" fillId="5" borderId="32" xfId="0" applyNumberFormat="1" applyFill="1" applyBorder="1" applyAlignment="1">
      <alignment horizontal="center" vertical="center"/>
    </xf>
    <xf numFmtId="0" fontId="0" fillId="6" borderId="37" xfId="0" applyFill="1" applyBorder="1" applyAlignment="1">
      <alignment horizontal="center" vertical="center"/>
    </xf>
    <xf numFmtId="0" fontId="0" fillId="6" borderId="38" xfId="0" applyFill="1" applyBorder="1" applyAlignment="1">
      <alignment horizontal="center" vertical="center"/>
    </xf>
    <xf numFmtId="0" fontId="0" fillId="0" borderId="39" xfId="0" applyBorder="1" applyAlignment="1">
      <alignment vertical="top" wrapText="1"/>
    </xf>
    <xf numFmtId="0" fontId="0" fillId="6" borderId="34" xfId="0" applyFill="1" applyBorder="1" applyAlignment="1">
      <alignment horizontal="left" textRotation="57" wrapText="1"/>
    </xf>
    <xf numFmtId="44" fontId="0" fillId="5" borderId="32" xfId="1" applyFont="1" applyFill="1" applyBorder="1" applyAlignment="1">
      <alignment vertical="center"/>
    </xf>
    <xf numFmtId="44" fontId="0" fillId="6" borderId="33" xfId="1" applyFont="1" applyFill="1" applyBorder="1" applyAlignment="1">
      <alignment vertical="center"/>
    </xf>
    <xf numFmtId="44" fontId="0" fillId="6" borderId="37" xfId="1" applyFont="1" applyFill="1" applyBorder="1" applyAlignment="1">
      <alignment vertical="center"/>
    </xf>
    <xf numFmtId="0" fontId="0" fillId="6" borderId="37" xfId="0" applyNumberFormat="1" applyFill="1" applyBorder="1" applyAlignment="1">
      <alignment horizontal="center" vertical="center"/>
    </xf>
    <xf numFmtId="2" fontId="0" fillId="6" borderId="15" xfId="0" applyNumberFormat="1" applyFill="1" applyBorder="1" applyAlignment="1">
      <alignment horizontal="center" vertical="center"/>
    </xf>
    <xf numFmtId="2" fontId="0" fillId="6" borderId="38" xfId="0" applyNumberFormat="1" applyFill="1" applyBorder="1" applyAlignment="1">
      <alignment horizontal="center" vertical="center"/>
    </xf>
    <xf numFmtId="2" fontId="0" fillId="0" borderId="1" xfId="0" applyNumberFormat="1" applyBorder="1"/>
    <xf numFmtId="2" fontId="0" fillId="0" borderId="1" xfId="1" applyNumberFormat="1" applyFont="1" applyBorder="1"/>
    <xf numFmtId="0" fontId="0" fillId="0" borderId="20" xfId="0" applyBorder="1" applyAlignment="1">
      <alignment horizontal="left" vertical="top" wrapText="1"/>
    </xf>
    <xf numFmtId="0" fontId="0" fillId="0" borderId="21"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0"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0" fillId="7" borderId="28" xfId="0" applyFill="1" applyBorder="1" applyAlignment="1">
      <alignment horizontal="left" vertical="center"/>
    </xf>
    <xf numFmtId="0" fontId="0" fillId="7" borderId="29" xfId="0" applyFill="1" applyBorder="1" applyAlignment="1">
      <alignment horizontal="left" vertical="center"/>
    </xf>
    <xf numFmtId="0" fontId="8" fillId="8" borderId="23" xfId="0" applyFont="1" applyFill="1" applyBorder="1" applyAlignment="1">
      <alignment horizontal="center"/>
    </xf>
    <xf numFmtId="0" fontId="8" fillId="8" borderId="0" xfId="0" applyFont="1" applyFill="1" applyBorder="1" applyAlignment="1">
      <alignment horizontal="center"/>
    </xf>
    <xf numFmtId="0" fontId="4" fillId="0" borderId="1" xfId="0" applyFont="1" applyBorder="1" applyAlignment="1">
      <alignment horizontal="left" vertical="top" wrapText="1"/>
    </xf>
  </cellXfs>
  <cellStyles count="2">
    <cellStyle name="Currency" xfId="1" builtinId="4"/>
    <cellStyle name="Normal" xfId="0" builtinId="0"/>
  </cellStyles>
  <dxfs count="4">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FFFF99"/>
      <color rgb="FFFFFF66"/>
      <color rgb="FF66FF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layout/>
    </c:title>
    <c:plotArea>
      <c:layout/>
      <c:barChart>
        <c:barDir val="col"/>
        <c:grouping val="clustered"/>
        <c:ser>
          <c:idx val="0"/>
          <c:order val="0"/>
          <c:tx>
            <c:strRef>
              <c:f>'Office Paper Settings'!$H$3</c:f>
              <c:strCache>
                <c:ptCount val="1"/>
                <c:pt idx="0">
                  <c:v>CO2</c:v>
                </c:pt>
              </c:strCache>
            </c:strRef>
          </c:tx>
          <c:cat>
            <c:strRef>
              <c:f>'Office Paper Settings'!$I$2:$K$2</c:f>
              <c:strCache>
                <c:ptCount val="3"/>
                <c:pt idx="0">
                  <c:v>Virgin Paper, 0% Recycled Copy Paper</c:v>
                </c:pt>
                <c:pt idx="1">
                  <c:v>Alternative 1</c:v>
                </c:pt>
                <c:pt idx="2">
                  <c:v>Alternative 2</c:v>
                </c:pt>
              </c:strCache>
            </c:strRef>
          </c:cat>
          <c:val>
            <c:numRef>
              <c:f>'Office Paper Settings'!$I$3:$K$3</c:f>
              <c:numCache>
                <c:formatCode>0.00</c:formatCode>
                <c:ptCount val="3"/>
                <c:pt idx="0">
                  <c:v>17767.230500000001</c:v>
                </c:pt>
                <c:pt idx="1">
                  <c:v>13892.022000000001</c:v>
                </c:pt>
                <c:pt idx="2">
                  <c:v>10016.8135</c:v>
                </c:pt>
              </c:numCache>
            </c:numRef>
          </c:val>
        </c:ser>
        <c:axId val="62810368"/>
        <c:axId val="62855040"/>
      </c:barChart>
      <c:catAx>
        <c:axId val="62810368"/>
        <c:scaling>
          <c:orientation val="minMax"/>
        </c:scaling>
        <c:axPos val="b"/>
        <c:title>
          <c:tx>
            <c:rich>
              <a:bodyPr/>
              <a:lstStyle/>
              <a:p>
                <a:pPr>
                  <a:defRPr/>
                </a:pPr>
                <a:r>
                  <a:rPr lang="en-US"/>
                  <a:t>Compared Products</a:t>
                </a:r>
              </a:p>
            </c:rich>
          </c:tx>
          <c:layout/>
        </c:title>
        <c:tickLblPos val="nextTo"/>
        <c:crossAx val="62855040"/>
        <c:crosses val="autoZero"/>
        <c:auto val="1"/>
        <c:lblAlgn val="ctr"/>
        <c:lblOffset val="100"/>
      </c:catAx>
      <c:valAx>
        <c:axId val="62855040"/>
        <c:scaling>
          <c:orientation val="minMax"/>
        </c:scaling>
        <c:axPos val="l"/>
        <c:majorGridlines/>
        <c:title>
          <c:tx>
            <c:rich>
              <a:bodyPr rot="-5400000" vert="horz"/>
              <a:lstStyle/>
              <a:p>
                <a:pPr>
                  <a:defRPr/>
                </a:pPr>
                <a:r>
                  <a:rPr lang="en-US"/>
                  <a:t>CO2 MTe</a:t>
                </a:r>
              </a:p>
            </c:rich>
          </c:tx>
          <c:layout/>
        </c:title>
        <c:numFmt formatCode="0.00" sourceLinked="1"/>
        <c:tickLblPos val="nextTo"/>
        <c:crossAx val="62810368"/>
        <c:crosses val="autoZero"/>
        <c:crossBetween val="between"/>
      </c:valAx>
    </c:plotArea>
    <c:legend>
      <c:legendPos val="r"/>
      <c:layout/>
    </c:legend>
    <c:plotVisOnly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layout/>
    </c:title>
    <c:plotArea>
      <c:layout/>
      <c:barChart>
        <c:barDir val="col"/>
        <c:grouping val="clustered"/>
        <c:ser>
          <c:idx val="0"/>
          <c:order val="0"/>
          <c:tx>
            <c:strRef>
              <c:f>'Office Paper Settings'!$H$4</c:f>
              <c:strCache>
                <c:ptCount val="1"/>
                <c:pt idx="0">
                  <c:v>Trees</c:v>
                </c:pt>
              </c:strCache>
            </c:strRef>
          </c:tx>
          <c:cat>
            <c:strRef>
              <c:f>'Office Paper Settings'!$I$2:$K$2</c:f>
              <c:strCache>
                <c:ptCount val="3"/>
                <c:pt idx="0">
                  <c:v>Virgin Paper, 0% Recycled Copy Paper</c:v>
                </c:pt>
                <c:pt idx="1">
                  <c:v>Alternative 1</c:v>
                </c:pt>
                <c:pt idx="2">
                  <c:v>Alternative 2</c:v>
                </c:pt>
              </c:strCache>
            </c:strRef>
          </c:cat>
          <c:val>
            <c:numRef>
              <c:f>'Office Paper Settings'!$I$4:$K$4</c:f>
              <c:numCache>
                <c:formatCode>0.00</c:formatCode>
                <c:ptCount val="3"/>
                <c:pt idx="0">
                  <c:v>11.003500000000001</c:v>
                </c:pt>
                <c:pt idx="1">
                  <c:v>5.5017500000000004</c:v>
                </c:pt>
                <c:pt idx="2">
                  <c:v>0</c:v>
                </c:pt>
              </c:numCache>
            </c:numRef>
          </c:val>
        </c:ser>
        <c:axId val="83293696"/>
        <c:axId val="83295232"/>
      </c:barChart>
      <c:catAx>
        <c:axId val="83293696"/>
        <c:scaling>
          <c:orientation val="minMax"/>
        </c:scaling>
        <c:axPos val="b"/>
        <c:title>
          <c:tx>
            <c:rich>
              <a:bodyPr/>
              <a:lstStyle/>
              <a:p>
                <a:pPr>
                  <a:defRPr/>
                </a:pPr>
                <a:r>
                  <a:rPr lang="en-US"/>
                  <a:t>Compared Products</a:t>
                </a:r>
              </a:p>
            </c:rich>
          </c:tx>
          <c:layout/>
        </c:title>
        <c:tickLblPos val="nextTo"/>
        <c:crossAx val="83295232"/>
        <c:crosses val="autoZero"/>
        <c:auto val="1"/>
        <c:lblAlgn val="ctr"/>
        <c:lblOffset val="100"/>
      </c:catAx>
      <c:valAx>
        <c:axId val="83295232"/>
        <c:scaling>
          <c:orientation val="minMax"/>
        </c:scaling>
        <c:axPos val="l"/>
        <c:majorGridlines/>
        <c:title>
          <c:tx>
            <c:rich>
              <a:bodyPr rot="-5400000" vert="horz"/>
              <a:lstStyle/>
              <a:p>
                <a:pPr>
                  <a:defRPr/>
                </a:pPr>
                <a:r>
                  <a:rPr lang="en-US"/>
                  <a:t>Tons of Wood</a:t>
                </a:r>
              </a:p>
            </c:rich>
          </c:tx>
          <c:layout/>
        </c:title>
        <c:numFmt formatCode="0.00" sourceLinked="1"/>
        <c:tickLblPos val="nextTo"/>
        <c:crossAx val="83293696"/>
        <c:crosses val="autoZero"/>
        <c:crossBetween val="between"/>
      </c:valAx>
    </c:plotArea>
    <c:legend>
      <c:legendPos val="r"/>
      <c:layout/>
    </c:legend>
    <c:plotVisOnly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layout/>
    </c:title>
    <c:plotArea>
      <c:layout/>
      <c:barChart>
        <c:barDir val="col"/>
        <c:grouping val="clustered"/>
        <c:ser>
          <c:idx val="0"/>
          <c:order val="0"/>
          <c:tx>
            <c:strRef>
              <c:f>'Office Paper Settings'!$H$5</c:f>
              <c:strCache>
                <c:ptCount val="1"/>
                <c:pt idx="0">
                  <c:v>Water</c:v>
                </c:pt>
              </c:strCache>
            </c:strRef>
          </c:tx>
          <c:cat>
            <c:strRef>
              <c:f>'Office Paper Settings'!$I$2:$K$2</c:f>
              <c:strCache>
                <c:ptCount val="3"/>
                <c:pt idx="0">
                  <c:v>Virgin Paper, 0% Recycled Copy Paper</c:v>
                </c:pt>
                <c:pt idx="1">
                  <c:v>Alternative 1</c:v>
                </c:pt>
                <c:pt idx="2">
                  <c:v>Alternative 2</c:v>
                </c:pt>
              </c:strCache>
            </c:strRef>
          </c:cat>
          <c:val>
            <c:numRef>
              <c:f>'Office Paper Settings'!$I$5:$K$5</c:f>
              <c:numCache>
                <c:formatCode>0.00</c:formatCode>
                <c:ptCount val="3"/>
                <c:pt idx="0">
                  <c:v>65546.05</c:v>
                </c:pt>
                <c:pt idx="1">
                  <c:v>48071.474250000007</c:v>
                </c:pt>
                <c:pt idx="2">
                  <c:v>30596.898500000003</c:v>
                </c:pt>
              </c:numCache>
            </c:numRef>
          </c:val>
        </c:ser>
        <c:axId val="110003328"/>
        <c:axId val="110004864"/>
      </c:barChart>
      <c:catAx>
        <c:axId val="110003328"/>
        <c:scaling>
          <c:orientation val="minMax"/>
        </c:scaling>
        <c:axPos val="b"/>
        <c:title>
          <c:tx>
            <c:rich>
              <a:bodyPr/>
              <a:lstStyle/>
              <a:p>
                <a:pPr>
                  <a:defRPr/>
                </a:pPr>
                <a:r>
                  <a:rPr lang="en-US"/>
                  <a:t>Compared Products</a:t>
                </a:r>
              </a:p>
            </c:rich>
          </c:tx>
          <c:layout/>
        </c:title>
        <c:tickLblPos val="nextTo"/>
        <c:crossAx val="110004864"/>
        <c:crosses val="autoZero"/>
        <c:auto val="1"/>
        <c:lblAlgn val="ctr"/>
        <c:lblOffset val="100"/>
      </c:catAx>
      <c:valAx>
        <c:axId val="110004864"/>
        <c:scaling>
          <c:orientation val="minMax"/>
        </c:scaling>
        <c:axPos val="l"/>
        <c:majorGridlines/>
        <c:title>
          <c:tx>
            <c:rich>
              <a:bodyPr rot="-5400000" vert="horz"/>
              <a:lstStyle/>
              <a:p>
                <a:pPr>
                  <a:defRPr/>
                </a:pPr>
                <a:r>
                  <a:rPr lang="en-US"/>
                  <a:t>Gallons</a:t>
                </a:r>
              </a:p>
            </c:rich>
          </c:tx>
          <c:layout/>
        </c:title>
        <c:numFmt formatCode="0.00" sourceLinked="1"/>
        <c:tickLblPos val="nextTo"/>
        <c:crossAx val="110003328"/>
        <c:crosses val="autoZero"/>
        <c:crossBetween val="between"/>
      </c:valAx>
    </c:plotArea>
    <c:legend>
      <c:legendPos val="r"/>
      <c:layout/>
    </c:legend>
    <c:plotVisOnly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layout/>
    </c:title>
    <c:plotArea>
      <c:layout/>
      <c:barChart>
        <c:barDir val="col"/>
        <c:grouping val="clustered"/>
        <c:ser>
          <c:idx val="0"/>
          <c:order val="0"/>
          <c:tx>
            <c:strRef>
              <c:f>'Office Paper Settings'!$H$6</c:f>
              <c:strCache>
                <c:ptCount val="1"/>
                <c:pt idx="0">
                  <c:v>Energy</c:v>
                </c:pt>
              </c:strCache>
            </c:strRef>
          </c:tx>
          <c:cat>
            <c:strRef>
              <c:f>'Office Paper Settings'!$I$2:$K$2</c:f>
              <c:strCache>
                <c:ptCount val="3"/>
                <c:pt idx="0">
                  <c:v>Virgin Paper, 0% Recycled Copy Paper</c:v>
                </c:pt>
                <c:pt idx="1">
                  <c:v>Alternative 1</c:v>
                </c:pt>
                <c:pt idx="2">
                  <c:v>Alternative 2</c:v>
                </c:pt>
              </c:strCache>
            </c:strRef>
          </c:cat>
          <c:val>
            <c:numRef>
              <c:f>'Office Paper Settings'!$I$6:$K$6</c:f>
              <c:numCache>
                <c:formatCode>0.00</c:formatCode>
                <c:ptCount val="3"/>
                <c:pt idx="0">
                  <c:v>94.4</c:v>
                </c:pt>
                <c:pt idx="1">
                  <c:v>78.838750000000005</c:v>
                </c:pt>
                <c:pt idx="2">
                  <c:v>63.277500000000003</c:v>
                </c:pt>
              </c:numCache>
            </c:numRef>
          </c:val>
        </c:ser>
        <c:axId val="124530048"/>
        <c:axId val="124669952"/>
      </c:barChart>
      <c:catAx>
        <c:axId val="124530048"/>
        <c:scaling>
          <c:orientation val="minMax"/>
        </c:scaling>
        <c:axPos val="b"/>
        <c:title>
          <c:tx>
            <c:rich>
              <a:bodyPr/>
              <a:lstStyle/>
              <a:p>
                <a:pPr>
                  <a:defRPr/>
                </a:pPr>
                <a:r>
                  <a:rPr lang="en-US"/>
                  <a:t>Compared Products</a:t>
                </a:r>
              </a:p>
            </c:rich>
          </c:tx>
          <c:layout/>
        </c:title>
        <c:tickLblPos val="nextTo"/>
        <c:crossAx val="124669952"/>
        <c:crosses val="autoZero"/>
        <c:auto val="1"/>
        <c:lblAlgn val="ctr"/>
        <c:lblOffset val="100"/>
      </c:catAx>
      <c:valAx>
        <c:axId val="124669952"/>
        <c:scaling>
          <c:orientation val="minMax"/>
        </c:scaling>
        <c:axPos val="l"/>
        <c:majorGridlines/>
        <c:title>
          <c:tx>
            <c:rich>
              <a:bodyPr rot="-5400000" vert="horz"/>
              <a:lstStyle/>
              <a:p>
                <a:pPr>
                  <a:defRPr/>
                </a:pPr>
                <a:r>
                  <a:rPr lang="en-US"/>
                  <a:t>BTUs (millions)</a:t>
                </a:r>
              </a:p>
            </c:rich>
          </c:tx>
          <c:layout/>
        </c:title>
        <c:numFmt formatCode="0.00" sourceLinked="1"/>
        <c:tickLblPos val="nextTo"/>
        <c:crossAx val="124530048"/>
        <c:crosses val="autoZero"/>
        <c:crossBetween val="between"/>
      </c:valAx>
    </c:plotArea>
    <c:legend>
      <c:legendPos val="r"/>
      <c:layout/>
    </c:legend>
    <c:plotVisOnly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layout/>
    </c:title>
    <c:plotArea>
      <c:layout/>
      <c:barChart>
        <c:barDir val="col"/>
        <c:grouping val="clustered"/>
        <c:ser>
          <c:idx val="0"/>
          <c:order val="0"/>
          <c:tx>
            <c:strRef>
              <c:f>'Office Paper Settings'!$H$7</c:f>
              <c:strCache>
                <c:ptCount val="1"/>
                <c:pt idx="0">
                  <c:v>Solid Waste</c:v>
                </c:pt>
              </c:strCache>
            </c:strRef>
          </c:tx>
          <c:cat>
            <c:strRef>
              <c:f>'Office Paper Settings'!$I$2:$K$2</c:f>
              <c:strCache>
                <c:ptCount val="3"/>
                <c:pt idx="0">
                  <c:v>Virgin Paper, 0% Recycled Copy Paper</c:v>
                </c:pt>
                <c:pt idx="1">
                  <c:v>Alternative 1</c:v>
                </c:pt>
                <c:pt idx="2">
                  <c:v>Alternative 2</c:v>
                </c:pt>
              </c:strCache>
            </c:strRef>
          </c:cat>
          <c:val>
            <c:numRef>
              <c:f>'Office Paper Settings'!$I$7:$K$7</c:f>
              <c:numCache>
                <c:formatCode>0.00</c:formatCode>
                <c:ptCount val="3"/>
                <c:pt idx="0">
                  <c:v>5669.9000000000005</c:v>
                </c:pt>
                <c:pt idx="1">
                  <c:v>4562.1897500000005</c:v>
                </c:pt>
                <c:pt idx="2">
                  <c:v>3454.4795000000004</c:v>
                </c:pt>
              </c:numCache>
            </c:numRef>
          </c:val>
        </c:ser>
        <c:axId val="110249088"/>
        <c:axId val="110251392"/>
      </c:barChart>
      <c:catAx>
        <c:axId val="110249088"/>
        <c:scaling>
          <c:orientation val="minMax"/>
        </c:scaling>
        <c:axPos val="b"/>
        <c:title>
          <c:tx>
            <c:rich>
              <a:bodyPr/>
              <a:lstStyle/>
              <a:p>
                <a:pPr>
                  <a:defRPr/>
                </a:pPr>
                <a:r>
                  <a:rPr lang="en-US"/>
                  <a:t>Compared Products</a:t>
                </a:r>
              </a:p>
            </c:rich>
          </c:tx>
          <c:layout/>
        </c:title>
        <c:tickLblPos val="nextTo"/>
        <c:crossAx val="110251392"/>
        <c:crosses val="autoZero"/>
        <c:auto val="1"/>
        <c:lblAlgn val="ctr"/>
        <c:lblOffset val="100"/>
      </c:catAx>
      <c:valAx>
        <c:axId val="110251392"/>
        <c:scaling>
          <c:orientation val="minMax"/>
        </c:scaling>
        <c:axPos val="l"/>
        <c:majorGridlines/>
        <c:title>
          <c:tx>
            <c:rich>
              <a:bodyPr rot="-5400000" vert="horz"/>
              <a:lstStyle/>
              <a:p>
                <a:pPr>
                  <a:defRPr/>
                </a:pPr>
                <a:r>
                  <a:rPr lang="en-US"/>
                  <a:t>Tons of Waste</a:t>
                </a:r>
              </a:p>
            </c:rich>
          </c:tx>
          <c:layout/>
        </c:title>
        <c:numFmt formatCode="0.00" sourceLinked="1"/>
        <c:tickLblPos val="nextTo"/>
        <c:crossAx val="110249088"/>
        <c:crosses val="autoZero"/>
        <c:crossBetween val="between"/>
      </c:valAx>
    </c:plotArea>
    <c:legend>
      <c:legendPos val="r"/>
      <c:layout/>
    </c:legend>
    <c:plotVisOnly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title>
      <c:layout/>
    </c:title>
    <c:plotArea>
      <c:layout/>
      <c:barChart>
        <c:barDir val="col"/>
        <c:grouping val="clustered"/>
        <c:ser>
          <c:idx val="0"/>
          <c:order val="0"/>
          <c:tx>
            <c:strRef>
              <c:f>'Office Paper Settings'!$H$8</c:f>
              <c:strCache>
                <c:ptCount val="1"/>
                <c:pt idx="0">
                  <c:v>Cost</c:v>
                </c:pt>
              </c:strCache>
            </c:strRef>
          </c:tx>
          <c:cat>
            <c:strRef>
              <c:f>'Office Paper Settings'!$I$2:$K$2</c:f>
              <c:strCache>
                <c:ptCount val="3"/>
                <c:pt idx="0">
                  <c:v>Virgin Paper, 0% Recycled Copy Paper</c:v>
                </c:pt>
                <c:pt idx="1">
                  <c:v>Alternative 1</c:v>
                </c:pt>
                <c:pt idx="2">
                  <c:v>Alternative 2</c:v>
                </c:pt>
              </c:strCache>
            </c:strRef>
          </c:cat>
          <c:val>
            <c:numRef>
              <c:f>'Office Paper Settings'!$I$8:$K$8</c:f>
              <c:numCache>
                <c:formatCode>0.00</c:formatCode>
                <c:ptCount val="3"/>
                <c:pt idx="0">
                  <c:v>3300</c:v>
                </c:pt>
                <c:pt idx="1">
                  <c:v>5200</c:v>
                </c:pt>
                <c:pt idx="2">
                  <c:v>4400</c:v>
                </c:pt>
              </c:numCache>
            </c:numRef>
          </c:val>
        </c:ser>
        <c:axId val="135088768"/>
        <c:axId val="135090560"/>
      </c:barChart>
      <c:catAx>
        <c:axId val="135088768"/>
        <c:scaling>
          <c:orientation val="minMax"/>
        </c:scaling>
        <c:axPos val="b"/>
        <c:title>
          <c:tx>
            <c:rich>
              <a:bodyPr/>
              <a:lstStyle/>
              <a:p>
                <a:pPr>
                  <a:defRPr/>
                </a:pPr>
                <a:r>
                  <a:rPr lang="en-US"/>
                  <a:t>Compared Products</a:t>
                </a:r>
              </a:p>
            </c:rich>
          </c:tx>
          <c:layout/>
        </c:title>
        <c:tickLblPos val="nextTo"/>
        <c:crossAx val="135090560"/>
        <c:crosses val="autoZero"/>
        <c:auto val="1"/>
        <c:lblAlgn val="ctr"/>
        <c:lblOffset val="100"/>
      </c:catAx>
      <c:valAx>
        <c:axId val="135090560"/>
        <c:scaling>
          <c:orientation val="minMax"/>
        </c:scaling>
        <c:axPos val="l"/>
        <c:majorGridlines/>
        <c:title>
          <c:tx>
            <c:rich>
              <a:bodyPr rot="0" vert="horz"/>
              <a:lstStyle/>
              <a:p>
                <a:pPr>
                  <a:defRPr/>
                </a:pPr>
                <a:r>
                  <a:rPr lang="en-US"/>
                  <a:t>$</a:t>
                </a:r>
              </a:p>
            </c:rich>
          </c:tx>
          <c:layout/>
        </c:title>
        <c:numFmt formatCode="0.00" sourceLinked="1"/>
        <c:tickLblPos val="nextTo"/>
        <c:crossAx val="135088768"/>
        <c:crosses val="autoZero"/>
        <c:crossBetween val="between"/>
      </c:valAx>
    </c:plotArea>
    <c:legend>
      <c:legendPos val="r"/>
      <c:layout/>
    </c:legend>
    <c:plotVisOnly val="1"/>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317500</xdr:colOff>
      <xdr:row>0</xdr:row>
      <xdr:rowOff>0</xdr:rowOff>
    </xdr:from>
    <xdr:to>
      <xdr:col>13</xdr:col>
      <xdr:colOff>165100</xdr:colOff>
      <xdr:row>40</xdr:row>
      <xdr:rowOff>127000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317500" y="0"/>
          <a:ext cx="7772400" cy="7772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127000</xdr:colOff>
      <xdr:row>8</xdr:row>
      <xdr:rowOff>0</xdr:rowOff>
    </xdr:from>
    <xdr:to>
      <xdr:col>2</xdr:col>
      <xdr:colOff>2286000</xdr:colOff>
      <xdr:row>18</xdr:row>
      <xdr:rowOff>0</xdr:rowOff>
    </xdr:to>
    <xdr:graphicFrame macro="">
      <xdr:nvGraphicFramePr>
        <xdr:cNvPr id="114" name="Chart 1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2476500</xdr:colOff>
      <xdr:row>18</xdr:row>
      <xdr:rowOff>127000</xdr:rowOff>
    </xdr:from>
    <xdr:to>
      <xdr:col>6</xdr:col>
      <xdr:colOff>225425</xdr:colOff>
      <xdr:row>28</xdr:row>
      <xdr:rowOff>127000</xdr:rowOff>
    </xdr:to>
    <xdr:graphicFrame macro="">
      <xdr:nvGraphicFramePr>
        <xdr:cNvPr id="115" name="Chart 1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127000</xdr:colOff>
      <xdr:row>29</xdr:row>
      <xdr:rowOff>63500</xdr:rowOff>
    </xdr:from>
    <xdr:to>
      <xdr:col>2</xdr:col>
      <xdr:colOff>2286000</xdr:colOff>
      <xdr:row>39</xdr:row>
      <xdr:rowOff>63500</xdr:rowOff>
    </xdr:to>
    <xdr:graphicFrame macro="">
      <xdr:nvGraphicFramePr>
        <xdr:cNvPr id="116" name="Chart 1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2476500</xdr:colOff>
      <xdr:row>8</xdr:row>
      <xdr:rowOff>0</xdr:rowOff>
    </xdr:from>
    <xdr:to>
      <xdr:col>6</xdr:col>
      <xdr:colOff>225425</xdr:colOff>
      <xdr:row>18</xdr:row>
      <xdr:rowOff>0</xdr:rowOff>
    </xdr:to>
    <xdr:graphicFrame macro="">
      <xdr:nvGraphicFramePr>
        <xdr:cNvPr id="117" name="Chart 1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2476500</xdr:colOff>
      <xdr:row>29</xdr:row>
      <xdr:rowOff>63500</xdr:rowOff>
    </xdr:from>
    <xdr:to>
      <xdr:col>6</xdr:col>
      <xdr:colOff>225425</xdr:colOff>
      <xdr:row>39</xdr:row>
      <xdr:rowOff>63500</xdr:rowOff>
    </xdr:to>
    <xdr:graphicFrame macro="">
      <xdr:nvGraphicFramePr>
        <xdr:cNvPr id="118" name="Chart 1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127000</xdr:colOff>
      <xdr:row>18</xdr:row>
      <xdr:rowOff>127000</xdr:rowOff>
    </xdr:from>
    <xdr:to>
      <xdr:col>2</xdr:col>
      <xdr:colOff>2286000</xdr:colOff>
      <xdr:row>28</xdr:row>
      <xdr:rowOff>127000</xdr:rowOff>
    </xdr:to>
    <xdr:graphicFrame macro="">
      <xdr:nvGraphicFramePr>
        <xdr:cNvPr id="119" name="Chart 1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1047750</xdr:colOff>
      <xdr:row>4</xdr:row>
      <xdr:rowOff>88900</xdr:rowOff>
    </xdr:from>
    <xdr:to>
      <xdr:col>2</xdr:col>
      <xdr:colOff>3905250</xdr:colOff>
      <xdr:row>7</xdr:row>
      <xdr:rowOff>88900</xdr:rowOff>
    </xdr:to>
    <xdr:sp macro="" textlink="">
      <xdr:nvSpPr>
        <xdr:cNvPr id="120" name="Title_Box"/>
        <xdr:cNvSpPr txBox="1"/>
      </xdr:nvSpPr>
      <xdr:spPr>
        <a:xfrm>
          <a:off x="3333750" y="850900"/>
          <a:ext cx="285750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400" b="1" i="0"/>
            <a:t>Resource and Monetary Changes Resulting from Switching Product</a:t>
          </a:r>
        </a:p>
      </xdr:txBody>
    </xdr:sp>
    <xdr:clientData/>
  </xdr:twoCellAnchor>
  <xdr:twoCellAnchor>
    <xdr:from>
      <xdr:col>6</xdr:col>
      <xdr:colOff>415925</xdr:colOff>
      <xdr:row>1</xdr:row>
      <xdr:rowOff>63500</xdr:rowOff>
    </xdr:from>
    <xdr:to>
      <xdr:col>14</xdr:col>
      <xdr:colOff>301625</xdr:colOff>
      <xdr:row>45</xdr:row>
      <xdr:rowOff>0</xdr:rowOff>
    </xdr:to>
    <xdr:sp macro="" textlink="">
      <xdr:nvSpPr>
        <xdr:cNvPr id="121" name="Statsbox"/>
        <xdr:cNvSpPr txBox="1"/>
      </xdr:nvSpPr>
      <xdr:spPr>
        <a:xfrm>
          <a:off x="9398000" y="254000"/>
          <a:ext cx="4762500" cy="8318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i="0"/>
            <a:t>IMPACT SUMMARY</a:t>
          </a:r>
        </a:p>
        <a:p>
          <a:endParaRPr lang="en-US" sz="1100"/>
        </a:p>
        <a:p>
          <a:r>
            <a:rPr lang="en-US" sz="1100" b="1" i="0" u="words"/>
            <a:t>Virgin Paper (0% Recycled Content):</a:t>
          </a:r>
        </a:p>
        <a:p>
          <a:r>
            <a:rPr lang="en-US" sz="1100"/>
            <a:t>• Carbon Dioxide: 17767.23 pounds of CO2 equivalent (approximately 1.61 cars)</a:t>
          </a:r>
        </a:p>
        <a:p>
          <a:r>
            <a:rPr lang="en-US" sz="1100"/>
            <a:t>• Energy: 11 million BTUs (enough to power 40288 computers at once)</a:t>
          </a:r>
        </a:p>
        <a:p>
          <a:r>
            <a:rPr lang="en-US" sz="1100"/>
            <a:t>• Trees: 65546.05 tons of wood used</a:t>
          </a:r>
        </a:p>
        <a:p>
          <a:r>
            <a:rPr lang="en-US" sz="1100"/>
            <a:t>• Water: 94.4 gallons of water (equivalent to approximately 2 showers)</a:t>
          </a:r>
        </a:p>
        <a:p>
          <a:r>
            <a:rPr lang="en-US" sz="1100"/>
            <a:t>• Solid Waste: 5669.9 tons of waste (about 47.25 64-gallon garbage containers)</a:t>
          </a:r>
        </a:p>
        <a:p>
          <a:endParaRPr lang="en-US" sz="1100"/>
        </a:p>
        <a:p>
          <a:r>
            <a:rPr lang="en-US" sz="1100"/>
            <a:t>The resource reduction differences between Virgin Paper and your alternatives are listed below:</a:t>
          </a:r>
        </a:p>
        <a:p>
          <a:endParaRPr lang="en-US" sz="1100"/>
        </a:p>
        <a:p>
          <a:r>
            <a:rPr lang="en-US" sz="1100" b="1" i="0" u="words"/>
            <a:t>Alternative 1</a:t>
          </a:r>
          <a:r>
            <a:rPr lang="en-US" sz="1100"/>
            <a:t>: Staples® 50% Recycled Multipurpose Paper, 8.5X11, 96/109+ US/Euro Brightness, 24 lb., (SKU: 756860)</a:t>
          </a:r>
        </a:p>
        <a:p>
          <a:r>
            <a:rPr lang="en-US" sz="1100"/>
            <a:t> • Carbon Dioxide: 3875.21 pounds of CO2 equivalent avoided (approximately 0.35 cars taken off the road)</a:t>
          </a:r>
        </a:p>
        <a:p>
          <a:r>
            <a:rPr lang="en-US" sz="1100"/>
            <a:t> • Energy: 15.56 million BTUs conserved (enough to power 56976 computers at once)</a:t>
          </a:r>
        </a:p>
        <a:p>
          <a:r>
            <a:rPr lang="en-US" sz="1100"/>
            <a:t> • Trees: 5.5 tons of wood not used (approximately 35.76 trees not harvested)</a:t>
          </a:r>
        </a:p>
        <a:p>
          <a:r>
            <a:rPr lang="en-US" sz="1100"/>
            <a:t> • Water: 17474.57575 gallons of water conserved (equivalent to approximately 437 showers)</a:t>
          </a:r>
        </a:p>
        <a:p>
          <a:r>
            <a:rPr lang="en-US" sz="1100"/>
            <a:t> • Solid Waste: 1107.71 tons of waste avoided (about 9.23 64-gallon garbage containers)</a:t>
          </a:r>
        </a:p>
        <a:p>
          <a:endParaRPr lang="en-US" sz="1100"/>
        </a:p>
        <a:p>
          <a:r>
            <a:rPr lang="en-US" sz="1100" b="1" i="0" u="words"/>
            <a:t>Alternative 2</a:t>
          </a:r>
          <a:r>
            <a:rPr lang="en-US" sz="1100"/>
            <a:t>:Staples® 100% Recycled Copy Paper, 8.5X11, 90/100 US/Euro Brightness, 20 lb., (SKU: 620014)</a:t>
          </a:r>
        </a:p>
        <a:p>
          <a:r>
            <a:rPr lang="en-US" sz="1100"/>
            <a:t> • Carbon Dioxide: 7750.42 pounds of CO2 equivalent avoided (approximately 0.7 cars taken off the road)</a:t>
          </a:r>
        </a:p>
        <a:p>
          <a:r>
            <a:rPr lang="en-US" sz="1100"/>
            <a:t> • Energy: 31.12 million BTUs conserved (enough to power 113952 computers at once)</a:t>
          </a:r>
        </a:p>
        <a:p>
          <a:r>
            <a:rPr lang="en-US" sz="1100"/>
            <a:t> • Trees: 11 tons of wood not used (approximately 71.52 trees not harvested)</a:t>
          </a:r>
        </a:p>
        <a:p>
          <a:r>
            <a:rPr lang="en-US" sz="1100"/>
            <a:t> • Water: 34949.15 gallons of water conserved (equivalent to approximately 874 showers)</a:t>
          </a:r>
        </a:p>
        <a:p>
          <a:r>
            <a:rPr lang="en-US" sz="1100"/>
            <a:t> • Solid Waste: 2215.42 tons of waste avoided (about 18.46 64-gallon garbage containers)</a:t>
          </a:r>
        </a:p>
        <a:p>
          <a:endParaRPr lang="en-US" sz="1100"/>
        </a:p>
        <a:p>
          <a:r>
            <a:rPr lang="en-US" sz="1100"/>
            <a:t>These benefits will accrue and result in the following annual expenditure increase (when compared to an equivalent amount of virgin paper):</a:t>
          </a:r>
        </a:p>
        <a:p>
          <a:r>
            <a:rPr lang="en-US" sz="1100"/>
            <a:t> • Staples® 50% Recycled Multipurpose Paper, 8.5X11, 96/109+ US/Euro Brightness, 24 lb., (SKU: 756860): Cost - $1900 dollars.</a:t>
          </a:r>
        </a:p>
        <a:p>
          <a:r>
            <a:rPr lang="en-US" sz="1100"/>
            <a:t> • Staples® 100% Recycled Copy Paper, 8.5X11, 90/100 US/Euro Brightness, 20 lb., (SKU: 620014): Cost - $1100 dollars.</a:t>
          </a:r>
        </a:p>
        <a:p>
          <a:endParaRPr lang="en-US" sz="1100"/>
        </a:p>
        <a:p>
          <a:r>
            <a:rPr lang="en-US" sz="1100"/>
            <a:t>Environmental impact estimates were made using the Environmental Paper Network Paper Calculator. For more information visit www.papercalculator.org.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2.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sheetPr codeName="Sheet8"/>
  <dimension ref="P7:U28"/>
  <sheetViews>
    <sheetView showGridLines="0" tabSelected="1" zoomScale="75" zoomScaleNormal="75" workbookViewId="0">
      <selection activeCell="C7" sqref="C7"/>
    </sheetView>
  </sheetViews>
  <sheetFormatPr defaultRowHeight="15"/>
  <sheetData>
    <row r="7" spans="16:21" ht="15.75" thickBot="1"/>
    <row r="8" spans="16:21" ht="15" customHeight="1">
      <c r="P8" s="92" t="s">
        <v>61</v>
      </c>
      <c r="Q8" s="93"/>
      <c r="R8" s="93"/>
      <c r="S8" s="93"/>
      <c r="T8" s="93"/>
      <c r="U8" s="94"/>
    </row>
    <row r="9" spans="16:21">
      <c r="P9" s="95"/>
      <c r="Q9" s="96"/>
      <c r="R9" s="96"/>
      <c r="S9" s="96"/>
      <c r="T9" s="96"/>
      <c r="U9" s="97"/>
    </row>
    <row r="10" spans="16:21">
      <c r="P10" s="95"/>
      <c r="Q10" s="96"/>
      <c r="R10" s="96"/>
      <c r="S10" s="96"/>
      <c r="T10" s="96"/>
      <c r="U10" s="97"/>
    </row>
    <row r="11" spans="16:21">
      <c r="P11" s="95"/>
      <c r="Q11" s="96"/>
      <c r="R11" s="96"/>
      <c r="S11" s="96"/>
      <c r="T11" s="96"/>
      <c r="U11" s="97"/>
    </row>
    <row r="12" spans="16:21">
      <c r="P12" s="95"/>
      <c r="Q12" s="96"/>
      <c r="R12" s="96"/>
      <c r="S12" s="96"/>
      <c r="T12" s="96"/>
      <c r="U12" s="97"/>
    </row>
    <row r="13" spans="16:21">
      <c r="P13" s="95"/>
      <c r="Q13" s="96"/>
      <c r="R13" s="96"/>
      <c r="S13" s="96"/>
      <c r="T13" s="96"/>
      <c r="U13" s="97"/>
    </row>
    <row r="14" spans="16:21">
      <c r="P14" s="95"/>
      <c r="Q14" s="96"/>
      <c r="R14" s="96"/>
      <c r="S14" s="96"/>
      <c r="T14" s="96"/>
      <c r="U14" s="97"/>
    </row>
    <row r="15" spans="16:21">
      <c r="P15" s="95"/>
      <c r="Q15" s="96"/>
      <c r="R15" s="96"/>
      <c r="S15" s="96"/>
      <c r="T15" s="96"/>
      <c r="U15" s="97"/>
    </row>
    <row r="16" spans="16:21">
      <c r="P16" s="95"/>
      <c r="Q16" s="96"/>
      <c r="R16" s="96"/>
      <c r="S16" s="96"/>
      <c r="T16" s="96"/>
      <c r="U16" s="97"/>
    </row>
    <row r="17" spans="16:21">
      <c r="P17" s="95"/>
      <c r="Q17" s="96"/>
      <c r="R17" s="96"/>
      <c r="S17" s="96"/>
      <c r="T17" s="96"/>
      <c r="U17" s="97"/>
    </row>
    <row r="18" spans="16:21">
      <c r="P18" s="95"/>
      <c r="Q18" s="96"/>
      <c r="R18" s="96"/>
      <c r="S18" s="96"/>
      <c r="T18" s="96"/>
      <c r="U18" s="97"/>
    </row>
    <row r="19" spans="16:21">
      <c r="P19" s="95"/>
      <c r="Q19" s="96"/>
      <c r="R19" s="96"/>
      <c r="S19" s="96"/>
      <c r="T19" s="96"/>
      <c r="U19" s="97"/>
    </row>
    <row r="20" spans="16:21">
      <c r="P20" s="95"/>
      <c r="Q20" s="96"/>
      <c r="R20" s="96"/>
      <c r="S20" s="96"/>
      <c r="T20" s="96"/>
      <c r="U20" s="97"/>
    </row>
    <row r="21" spans="16:21">
      <c r="P21" s="95"/>
      <c r="Q21" s="96"/>
      <c r="R21" s="96"/>
      <c r="S21" s="96"/>
      <c r="T21" s="96"/>
      <c r="U21" s="97"/>
    </row>
    <row r="22" spans="16:21">
      <c r="P22" s="95"/>
      <c r="Q22" s="96"/>
      <c r="R22" s="96"/>
      <c r="S22" s="96"/>
      <c r="T22" s="96"/>
      <c r="U22" s="97"/>
    </row>
    <row r="23" spans="16:21">
      <c r="P23" s="95"/>
      <c r="Q23" s="96"/>
      <c r="R23" s="96"/>
      <c r="S23" s="96"/>
      <c r="T23" s="96"/>
      <c r="U23" s="97"/>
    </row>
    <row r="24" spans="16:21">
      <c r="P24" s="95"/>
      <c r="Q24" s="96"/>
      <c r="R24" s="96"/>
      <c r="S24" s="96"/>
      <c r="T24" s="96"/>
      <c r="U24" s="97"/>
    </row>
    <row r="25" spans="16:21">
      <c r="P25" s="95"/>
      <c r="Q25" s="96"/>
      <c r="R25" s="96"/>
      <c r="S25" s="96"/>
      <c r="T25" s="96"/>
      <c r="U25" s="97"/>
    </row>
    <row r="26" spans="16:21">
      <c r="P26" s="95"/>
      <c r="Q26" s="96"/>
      <c r="R26" s="96"/>
      <c r="S26" s="96"/>
      <c r="T26" s="96"/>
      <c r="U26" s="97"/>
    </row>
    <row r="27" spans="16:21">
      <c r="P27" s="95"/>
      <c r="Q27" s="96"/>
      <c r="R27" s="96"/>
      <c r="S27" s="96"/>
      <c r="T27" s="96"/>
      <c r="U27" s="97"/>
    </row>
    <row r="28" spans="16:21" ht="15.75" thickBot="1">
      <c r="P28" s="98"/>
      <c r="Q28" s="99"/>
      <c r="R28" s="99"/>
      <c r="S28" s="99"/>
      <c r="T28" s="99"/>
      <c r="U28" s="100"/>
    </row>
  </sheetData>
  <sheetProtection sheet="1" objects="1" scenarios="1"/>
  <mergeCells count="1">
    <mergeCell ref="P8:U28"/>
  </mergeCells>
  <pageMargins left="0.7" right="0.7" top="0.75" bottom="0.75" header="0.3" footer="0.3"/>
  <pageSetup orientation="portrait" verticalDpi="1200" r:id="rId1"/>
  <drawing r:id="rId2"/>
  <legacyDrawing r:id="rId3"/>
</worksheet>
</file>

<file path=xl/worksheets/sheet2.xml><?xml version="1.0" encoding="utf-8"?>
<worksheet xmlns="http://schemas.openxmlformats.org/spreadsheetml/2006/main" xmlns:r="http://schemas.openxmlformats.org/officeDocument/2006/relationships">
  <sheetPr codeName="Sheet1"/>
  <dimension ref="A1:P20"/>
  <sheetViews>
    <sheetView zoomScale="75" zoomScaleNormal="75" workbookViewId="0">
      <pane ySplit="2" topLeftCell="A9" activePane="bottomLeft" state="frozen"/>
      <selection activeCell="C2" sqref="C2"/>
      <selection pane="bottomLeft"/>
    </sheetView>
  </sheetViews>
  <sheetFormatPr defaultRowHeight="15"/>
  <cols>
    <col min="1" max="1" width="18.7109375" style="1" bestFit="1" customWidth="1"/>
    <col min="2" max="14" width="10.42578125" customWidth="1"/>
    <col min="16" max="16" width="22.140625" customWidth="1"/>
  </cols>
  <sheetData>
    <row r="1" spans="1:16" ht="15.75" thickBot="1">
      <c r="E1" s="103" t="s">
        <v>77</v>
      </c>
      <c r="F1" s="104"/>
      <c r="G1" s="104"/>
      <c r="H1" s="104"/>
      <c r="I1" s="104"/>
      <c r="J1" s="104"/>
      <c r="K1" s="104"/>
      <c r="L1" s="104"/>
      <c r="M1" s="104"/>
      <c r="N1" s="104"/>
    </row>
    <row r="2" spans="1:16" ht="250.5" customHeight="1" thickBot="1">
      <c r="A2" s="60" t="s">
        <v>72</v>
      </c>
      <c r="B2" s="72" t="s">
        <v>64</v>
      </c>
      <c r="C2" s="73" t="s">
        <v>65</v>
      </c>
      <c r="D2" s="72" t="s">
        <v>66</v>
      </c>
      <c r="E2" s="73" t="s">
        <v>67</v>
      </c>
      <c r="F2" s="72" t="s">
        <v>68</v>
      </c>
      <c r="G2" s="73" t="s">
        <v>73</v>
      </c>
      <c r="H2" s="72" t="s">
        <v>74</v>
      </c>
      <c r="I2" s="73" t="s">
        <v>69</v>
      </c>
      <c r="J2" s="72" t="s">
        <v>70</v>
      </c>
      <c r="K2" s="74" t="s">
        <v>76</v>
      </c>
    </row>
    <row r="3" spans="1:16" ht="29.25" customHeight="1" thickBot="1">
      <c r="A3" s="52" t="s">
        <v>6</v>
      </c>
      <c r="B3" s="67">
        <f>'Office Paper Data Inputs'!B3</f>
        <v>4.8999999999999995</v>
      </c>
      <c r="C3" s="66">
        <f>'Office Paper Data Inputs'!C3</f>
        <v>4.8999999999999995</v>
      </c>
      <c r="D3" s="67">
        <f>'Office Paper Data Inputs'!D3</f>
        <v>4.8999999999999995</v>
      </c>
      <c r="E3" s="68">
        <f>'Office Paper Data Inputs'!E3</f>
        <v>3.7</v>
      </c>
      <c r="F3" s="67">
        <f>'Office Paper Data Inputs'!F3</f>
        <v>4</v>
      </c>
      <c r="G3" s="68">
        <f>'Office Paper Data Inputs'!G3</f>
        <v>3.4000000000000004</v>
      </c>
      <c r="H3" s="67">
        <f>'Office Paper Data Inputs'!H3</f>
        <v>4.8999999999999995</v>
      </c>
      <c r="I3" s="68">
        <f>'Office Paper Data Inputs'!I3</f>
        <v>4.8999999999999995</v>
      </c>
      <c r="J3" s="67">
        <f>'Office Paper Data Inputs'!J3</f>
        <v>4.8999999999999995</v>
      </c>
      <c r="K3" s="81">
        <f>'Office Paper Data Inputs'!K3</f>
        <v>3.4000000000000004</v>
      </c>
    </row>
    <row r="4" spans="1:16" ht="29.25" customHeight="1">
      <c r="A4" s="63" t="s">
        <v>2</v>
      </c>
      <c r="B4" s="70">
        <f>IF('Office Paper Data Inputs'!B4&lt;='Office Paper Data Inputs'!B4,'Office Paper Settings'!$E$2,IF('Office Paper Data Inputs'!B4&lt;='Office Paper Settings'!$D$3,'Office Paper Settings'!$E$3,IF('Office Paper Data Inputs'!B4&lt;='Office Paper Settings'!$D$4,'Office Paper Settings'!$E$4,IF('Office Paper Data Inputs'!B4&lt;='Office Paper Settings'!$D$5,'Office Paper Settings'!$E$5,IF('Office Paper Data Inputs'!B4&lt;='Office Paper Settings'!$D$6,'Office Paper Settings'!$E$6,'Office Paper Settings'!$E$7)))))</f>
        <v>6</v>
      </c>
      <c r="C4" s="71">
        <f>IF('Office Paper Data Inputs'!C4&lt;='Office Paper Data Inputs'!C4,'Office Paper Settings'!$E$2,IF('Office Paper Data Inputs'!C4&lt;='Office Paper Settings'!$D$3,'Office Paper Settings'!$E$3,IF('Office Paper Data Inputs'!C4&lt;='Office Paper Settings'!$D$4,'Office Paper Settings'!$E$4,IF('Office Paper Data Inputs'!C4&lt;='Office Paper Settings'!$D$5,'Office Paper Settings'!$E$5,IF('Office Paper Data Inputs'!C4&lt;='Office Paper Settings'!$D$6,'Office Paper Settings'!$E$6,'Office Paper Settings'!$E$7)))))</f>
        <v>6</v>
      </c>
      <c r="D4" s="70">
        <f>IF('Office Paper Data Inputs'!D4&lt;='Office Paper Data Inputs'!D4,'Office Paper Settings'!$E$2,IF('Office Paper Data Inputs'!D4&lt;='Office Paper Settings'!$D$3,'Office Paper Settings'!$E$3,IF('Office Paper Data Inputs'!D4&lt;='Office Paper Settings'!$D$4,'Office Paper Settings'!$E$4,IF('Office Paper Data Inputs'!D4&lt;='Office Paper Settings'!$D$5,'Office Paper Settings'!$E$5,IF('Office Paper Data Inputs'!D4&lt;='Office Paper Settings'!$D$6,'Office Paper Settings'!$E$6,'Office Paper Settings'!$E$7)))))</f>
        <v>6</v>
      </c>
      <c r="E4" s="71">
        <f>IF('Office Paper Data Inputs'!E4&lt;='Office Paper Data Inputs'!B4,'Office Paper Settings'!$E$2,IF('Office Paper Data Inputs'!E4&lt;='Office Paper Settings'!$D$3,'Office Paper Settings'!$E$3,IF('Office Paper Data Inputs'!E4&lt;='Office Paper Settings'!$D$4,'Office Paper Settings'!$E$4,IF('Office Paper Data Inputs'!E4&lt;='Office Paper Settings'!$D$5,'Office Paper Settings'!$E$5,IF('Office Paper Data Inputs'!E4&lt;='Office Paper Settings'!$D$6,'Office Paper Settings'!$E$6,'Office Paper Settings'!$E$7)))))</f>
        <v>2</v>
      </c>
      <c r="F4" s="70">
        <f>IF('Office Paper Data Inputs'!F4&lt;='Office Paper Data Inputs'!C4,'Office Paper Settings'!$E$2,IF('Office Paper Data Inputs'!F4&lt;='Office Paper Settings'!$D$3,'Office Paper Settings'!$E$3,IF('Office Paper Data Inputs'!F4&lt;='Office Paper Settings'!$D$4,'Office Paper Settings'!$E$4,IF('Office Paper Data Inputs'!F4&lt;='Office Paper Settings'!$D$5,'Office Paper Settings'!$E$5,IF('Office Paper Data Inputs'!F4&lt;='Office Paper Settings'!$D$6,'Office Paper Settings'!$E$6,'Office Paper Settings'!$E$7)))))</f>
        <v>3</v>
      </c>
      <c r="G4" s="71">
        <f>IF('Office Paper Data Inputs'!G4&lt;='Office Paper Data Inputs'!D4,'Office Paper Settings'!$E$2,IF('Office Paper Data Inputs'!G4&lt;='Office Paper Settings'!$D$3,'Office Paper Settings'!$E$3,IF('Office Paper Data Inputs'!G4&lt;='Office Paper Settings'!$D$4,'Office Paper Settings'!$E$4,IF('Office Paper Data Inputs'!G4&lt;='Office Paper Settings'!$D$5,'Office Paper Settings'!$E$5,IF('Office Paper Data Inputs'!G4&lt;='Office Paper Settings'!$D$6,'Office Paper Settings'!$E$6,'Office Paper Settings'!$E$7)))))</f>
        <v>1</v>
      </c>
      <c r="H4" s="70">
        <f>IF('Office Paper Data Inputs'!H4&lt;='Office Paper Data Inputs'!E4,'Office Paper Settings'!$E$2,IF('Office Paper Data Inputs'!H4&lt;='Office Paper Settings'!$D$3,'Office Paper Settings'!$E$3,IF('Office Paper Data Inputs'!H4&lt;='Office Paper Settings'!$D$4,'Office Paper Settings'!$E$4,IF('Office Paper Data Inputs'!H4&lt;='Office Paper Settings'!$D$5,'Office Paper Settings'!$E$5,IF('Office Paper Data Inputs'!H4&lt;='Office Paper Settings'!$D$6,'Office Paper Settings'!$E$6,'Office Paper Settings'!$E$7)))))</f>
        <v>6</v>
      </c>
      <c r="I4" s="71">
        <f>IF('Office Paper Data Inputs'!I4&lt;='Office Paper Data Inputs'!F4,'Office Paper Settings'!$E$2,IF('Office Paper Data Inputs'!I4&lt;='Office Paper Settings'!$D$3,'Office Paper Settings'!$E$3,IF('Office Paper Data Inputs'!I4&lt;='Office Paper Settings'!$D$4,'Office Paper Settings'!$E$4,IF('Office Paper Data Inputs'!I4&lt;='Office Paper Settings'!$D$5,'Office Paper Settings'!$E$5,IF('Office Paper Data Inputs'!I4&lt;='Office Paper Settings'!$D$6,'Office Paper Settings'!$E$6,'Office Paper Settings'!$E$7)))))</f>
        <v>6</v>
      </c>
      <c r="J4" s="70">
        <f>IF('Office Paper Data Inputs'!J4&lt;='Office Paper Data Inputs'!G4,'Office Paper Settings'!$E$2,IF('Office Paper Data Inputs'!J4&lt;='Office Paper Settings'!$D$3,'Office Paper Settings'!$E$3,IF('Office Paper Data Inputs'!J4&lt;='Office Paper Settings'!$D$4,'Office Paper Settings'!$E$4,IF('Office Paper Data Inputs'!J4&lt;='Office Paper Settings'!$D$5,'Office Paper Settings'!$E$5,IF('Office Paper Data Inputs'!J4&lt;='Office Paper Settings'!$D$6,'Office Paper Settings'!$E$6,'Office Paper Settings'!$E$7)))))</f>
        <v>6</v>
      </c>
      <c r="K4" s="87">
        <f>IF('Office Paper Data Inputs'!K4&lt;='Office Paper Data Inputs'!H4,'Office Paper Settings'!$E$2,IF('Office Paper Data Inputs'!K4&lt;='Office Paper Settings'!$D$3,'Office Paper Settings'!$E$3,IF('Office Paper Data Inputs'!K4&lt;='Office Paper Settings'!$D$4,'Office Paper Settings'!$E$4,IF('Office Paper Data Inputs'!K4&lt;='Office Paper Settings'!$D$5,'Office Paper Settings'!$E$5,IF('Office Paper Data Inputs'!K4&lt;='Office Paper Settings'!$D$6,'Office Paper Settings'!$E$6,'Office Paper Settings'!$E$7)))))</f>
        <v>1</v>
      </c>
      <c r="O4" s="101" t="s">
        <v>60</v>
      </c>
      <c r="P4" s="102"/>
    </row>
    <row r="5" spans="1:16" ht="29.25" customHeight="1">
      <c r="A5" s="54" t="s">
        <v>28</v>
      </c>
      <c r="B5" s="45">
        <f>'Office Paper Data Inputs'!B5</f>
        <v>4</v>
      </c>
      <c r="C5" s="47">
        <f>'Office Paper Data Inputs'!C5</f>
        <v>4</v>
      </c>
      <c r="D5" s="45">
        <f>'Office Paper Data Inputs'!D5</f>
        <v>4</v>
      </c>
      <c r="E5" s="47">
        <f>'Office Paper Data Inputs'!E5</f>
        <v>4</v>
      </c>
      <c r="F5" s="45">
        <f>'Office Paper Data Inputs'!F5</f>
        <v>4</v>
      </c>
      <c r="G5" s="47">
        <f>'Office Paper Data Inputs'!G5</f>
        <v>4</v>
      </c>
      <c r="H5" s="45">
        <f>'Office Paper Data Inputs'!H5</f>
        <v>4</v>
      </c>
      <c r="I5" s="47">
        <f>'Office Paper Data Inputs'!I5</f>
        <v>4</v>
      </c>
      <c r="J5" s="45">
        <f>'Office Paper Data Inputs'!J5</f>
        <v>4</v>
      </c>
      <c r="K5" s="75">
        <f>'Office Paper Data Inputs'!K5</f>
        <v>4</v>
      </c>
      <c r="O5" s="55">
        <v>6</v>
      </c>
      <c r="P5" s="57" t="s">
        <v>57</v>
      </c>
    </row>
    <row r="6" spans="1:16" ht="29.25" customHeight="1">
      <c r="A6" s="54" t="s">
        <v>7</v>
      </c>
      <c r="B6" s="45">
        <f>'Office Paper Data Inputs'!B6</f>
        <v>4</v>
      </c>
      <c r="C6" s="47">
        <f>'Office Paper Data Inputs'!C6</f>
        <v>4</v>
      </c>
      <c r="D6" s="45">
        <f>'Office Paper Data Inputs'!D6</f>
        <v>4</v>
      </c>
      <c r="E6" s="47">
        <f>'Office Paper Data Inputs'!E6</f>
        <v>4</v>
      </c>
      <c r="F6" s="45">
        <f>'Office Paper Data Inputs'!F6</f>
        <v>4</v>
      </c>
      <c r="G6" s="47">
        <f>'Office Paper Data Inputs'!G6</f>
        <v>4</v>
      </c>
      <c r="H6" s="45">
        <f>'Office Paper Data Inputs'!H6</f>
        <v>4</v>
      </c>
      <c r="I6" s="47">
        <f>'Office Paper Data Inputs'!I6</f>
        <v>4</v>
      </c>
      <c r="J6" s="45">
        <f>'Office Paper Data Inputs'!J6</f>
        <v>4</v>
      </c>
      <c r="K6" s="75">
        <f>'Office Paper Data Inputs'!K6</f>
        <v>4</v>
      </c>
      <c r="O6" s="55">
        <v>4</v>
      </c>
      <c r="P6" s="57" t="s">
        <v>58</v>
      </c>
    </row>
    <row r="7" spans="1:16" ht="29.25" customHeight="1" thickBot="1">
      <c r="A7" s="61" t="s">
        <v>8</v>
      </c>
      <c r="B7" s="62">
        <f>'Office Paper Data Inputs'!B7</f>
        <v>5</v>
      </c>
      <c r="C7" s="51">
        <f>'Office Paper Data Inputs'!C7</f>
        <v>5</v>
      </c>
      <c r="D7" s="62">
        <f>'Office Paper Data Inputs'!D7</f>
        <v>5</v>
      </c>
      <c r="E7" s="51">
        <f>'Office Paper Data Inputs'!E7</f>
        <v>5</v>
      </c>
      <c r="F7" s="62">
        <f>'Office Paper Data Inputs'!F7</f>
        <v>5</v>
      </c>
      <c r="G7" s="51">
        <f>'Office Paper Data Inputs'!G7</f>
        <v>5</v>
      </c>
      <c r="H7" s="62">
        <f>'Office Paper Data Inputs'!H7</f>
        <v>5</v>
      </c>
      <c r="I7" s="51">
        <f>'Office Paper Data Inputs'!I7</f>
        <v>5</v>
      </c>
      <c r="J7" s="62">
        <f>'Office Paper Data Inputs'!J7</f>
        <v>5</v>
      </c>
      <c r="K7" s="77">
        <f>'Office Paper Data Inputs'!K7</f>
        <v>5</v>
      </c>
      <c r="O7" s="56">
        <v>2</v>
      </c>
      <c r="P7" s="58" t="s">
        <v>59</v>
      </c>
    </row>
    <row r="8" spans="1:16" ht="29.25" customHeight="1" thickBot="1">
      <c r="A8" s="52" t="s">
        <v>0</v>
      </c>
      <c r="B8" s="67">
        <f>'Office Paper Data Inputs'!B8</f>
        <v>3.75</v>
      </c>
      <c r="C8" s="68">
        <f>'Office Paper Data Inputs'!C8</f>
        <v>5.75</v>
      </c>
      <c r="D8" s="67">
        <f>'Office Paper Data Inputs'!D8</f>
        <v>2.75</v>
      </c>
      <c r="E8" s="68">
        <f>'Office Paper Data Inputs'!E8</f>
        <v>2</v>
      </c>
      <c r="F8" s="67">
        <f>'Office Paper Data Inputs'!F8</f>
        <v>4.25</v>
      </c>
      <c r="G8" s="68">
        <f>'Office Paper Data Inputs'!G8</f>
        <v>3.75</v>
      </c>
      <c r="H8" s="67">
        <f>'Office Paper Data Inputs'!H8</f>
        <v>2</v>
      </c>
      <c r="I8" s="68">
        <f>'Office Paper Data Inputs'!I8</f>
        <v>2.75</v>
      </c>
      <c r="J8" s="67">
        <f>'Office Paper Data Inputs'!J8</f>
        <v>3.75</v>
      </c>
      <c r="K8" s="81">
        <f>'Office Paper Data Inputs'!K8</f>
        <v>2</v>
      </c>
    </row>
    <row r="9" spans="1:16" ht="29.25" customHeight="1">
      <c r="A9" s="63" t="s">
        <v>3</v>
      </c>
      <c r="B9" s="64">
        <f>IF('Office Paper Data Inputs'!B9 &lt;='Office Paper Settings'!$D$14, 'Office Paper Settings'!$E$14, IF('Office Paper Data Inputs'!B9 &lt;= 'Office Paper Settings'!$D$13, 'Office Paper Settings'!$E$13, IF('Office Paper Data Inputs'!B9&lt;='Office Paper Settings'!$D$12, 'Office Paper Settings'!$E$12, IF('Office Paper Data Inputs'!B9&lt;'Office Paper Settings'!$D$10, 'Office Paper Settings'!$E$11, IF('Office Paper Data Inputs'!B9 = 'Office Paper Settings'!$D$10,'Office Paper Settings'!$E$10)))))</f>
        <v>3</v>
      </c>
      <c r="C9" s="65">
        <f>IF('Office Paper Data Inputs'!C9 &lt;='Office Paper Settings'!$D$14, 'Office Paper Settings'!$E$14, IF('Office Paper Data Inputs'!C9 &lt;= 'Office Paper Settings'!$D$13, 'Office Paper Settings'!$E$13, IF('Office Paper Data Inputs'!C9&lt;='Office Paper Settings'!$D$12, 'Office Paper Settings'!$E$12, IF('Office Paper Data Inputs'!C9&lt;'Office Paper Settings'!$D$10, 'Office Paper Settings'!$E$11, IF('Office Paper Data Inputs'!C9 = 'Office Paper Settings'!$D$10,'Office Paper Settings'!$E$10)))))</f>
        <v>6</v>
      </c>
      <c r="D9" s="64">
        <f>IF('Office Paper Data Inputs'!D9 &lt;='Office Paper Settings'!$D$14, 'Office Paper Settings'!$E$14, IF('Office Paper Data Inputs'!D9 &lt;= 'Office Paper Settings'!$D$13, 'Office Paper Settings'!$E$13, IF('Office Paper Data Inputs'!D9&lt;='Office Paper Settings'!$D$12, 'Office Paper Settings'!$E$12, IF('Office Paper Data Inputs'!D9&lt;'Office Paper Settings'!$D$10, 'Office Paper Settings'!$E$11, IF('Office Paper Data Inputs'!D9 = 'Office Paper Settings'!$D$10,'Office Paper Settings'!$E$10)))))</f>
        <v>1</v>
      </c>
      <c r="E9" s="65">
        <f>IF('Office Paper Data Inputs'!E9 &lt;='Office Paper Settings'!$D$14, 'Office Paper Settings'!$E$14, IF('Office Paper Data Inputs'!E9 &lt;= 'Office Paper Settings'!$D$13, 'Office Paper Settings'!$E$13, IF('Office Paper Data Inputs'!E9&lt;='Office Paper Settings'!$D$12, 'Office Paper Settings'!$E$12, IF('Office Paper Data Inputs'!E9&lt;'Office Paper Settings'!$D$10, 'Office Paper Settings'!$E$11, IF('Office Paper Data Inputs'!E9 = 'Office Paper Settings'!$D$10,'Office Paper Settings'!$E$10)))))</f>
        <v>1</v>
      </c>
      <c r="F9" s="64">
        <f>IF('Office Paper Data Inputs'!F9 &lt;='Office Paper Settings'!$D$14, 'Office Paper Settings'!$E$14, IF('Office Paper Data Inputs'!F9 &lt;= 'Office Paper Settings'!$D$13, 'Office Paper Settings'!$E$13, IF('Office Paper Data Inputs'!F9&lt;='Office Paper Settings'!$D$12, 'Office Paper Settings'!$E$12, IF('Office Paper Data Inputs'!F9&lt;'Office Paper Settings'!$D$10, 'Office Paper Settings'!$E$11, IF('Office Paper Data Inputs'!F9 = 'Office Paper Settings'!$D$10,'Office Paper Settings'!$E$10)))))</f>
        <v>4</v>
      </c>
      <c r="G9" s="65">
        <f>IF('Office Paper Data Inputs'!G9 &lt;='Office Paper Settings'!$D$14, 'Office Paper Settings'!$E$14, IF('Office Paper Data Inputs'!G9 &lt;= 'Office Paper Settings'!$D$13, 'Office Paper Settings'!$E$13, IF('Office Paper Data Inputs'!G9&lt;='Office Paper Settings'!$D$12, 'Office Paper Settings'!$E$12, IF('Office Paper Data Inputs'!G9&lt;'Office Paper Settings'!$D$10, 'Office Paper Settings'!$E$11, IF('Office Paper Data Inputs'!G9 = 'Office Paper Settings'!$D$10,'Office Paper Settings'!$E$10)))))</f>
        <v>3</v>
      </c>
      <c r="H9" s="64">
        <f>IF('Office Paper Data Inputs'!H9 &lt;='Office Paper Settings'!$D$14, 'Office Paper Settings'!$E$14, IF('Office Paper Data Inputs'!H9 &lt;= 'Office Paper Settings'!$D$13, 'Office Paper Settings'!$E$13, IF('Office Paper Data Inputs'!H9&lt;='Office Paper Settings'!$D$12, 'Office Paper Settings'!$E$12, IF('Office Paper Data Inputs'!H9&lt;'Office Paper Settings'!$D$10, 'Office Paper Settings'!$E$11, IF('Office Paper Data Inputs'!H9 = 'Office Paper Settings'!$D$10,'Office Paper Settings'!$E$10)))))</f>
        <v>1</v>
      </c>
      <c r="I9" s="65">
        <f>IF('Office Paper Data Inputs'!I9 &lt;='Office Paper Settings'!$D$14, 'Office Paper Settings'!$E$14, IF('Office Paper Data Inputs'!I9 &lt;= 'Office Paper Settings'!$D$13, 'Office Paper Settings'!$E$13, IF('Office Paper Data Inputs'!I9&lt;='Office Paper Settings'!$D$12, 'Office Paper Settings'!$E$12, IF('Office Paper Data Inputs'!I9&lt;'Office Paper Settings'!$D$10, 'Office Paper Settings'!$E$11, IF('Office Paper Data Inputs'!I9 = 'Office Paper Settings'!$D$10,'Office Paper Settings'!$E$10)))))</f>
        <v>1</v>
      </c>
      <c r="J9" s="64">
        <f>IF('Office Paper Data Inputs'!J9 &lt;='Office Paper Settings'!$D$14, 'Office Paper Settings'!$E$14, IF('Office Paper Data Inputs'!J9 &lt;= 'Office Paper Settings'!$D$13, 'Office Paper Settings'!$E$13, IF('Office Paper Data Inputs'!J9&lt;='Office Paper Settings'!$D$12, 'Office Paper Settings'!$E$12, IF('Office Paper Data Inputs'!J9&lt;'Office Paper Settings'!$D$10, 'Office Paper Settings'!$E$11, IF('Office Paper Data Inputs'!J9 = 'Office Paper Settings'!$D$10,'Office Paper Settings'!$E$10)))))</f>
        <v>3</v>
      </c>
      <c r="K9" s="80">
        <f>IF('Office Paper Data Inputs'!K9 &lt;='Office Paper Settings'!$D$14, 'Office Paper Settings'!$E$14, IF('Office Paper Data Inputs'!K9 &lt;= 'Office Paper Settings'!$D$13, 'Office Paper Settings'!$E$13, IF('Office Paper Data Inputs'!K9&lt;='Office Paper Settings'!$D$12, 'Office Paper Settings'!$E$12, IF('Office Paper Data Inputs'!K9&lt;'Office Paper Settings'!$D$10, 'Office Paper Settings'!$E$11, IF('Office Paper Data Inputs'!K9 = 'Office Paper Settings'!$D$10,'Office Paper Settings'!$E$10)))))</f>
        <v>1</v>
      </c>
    </row>
    <row r="10" spans="1:16" ht="29.25" customHeight="1">
      <c r="A10" s="54" t="s">
        <v>12</v>
      </c>
      <c r="B10" s="45">
        <f>VLOOKUP('Office Paper Data Inputs'!B10, 'Office Paper Settings'!$D$17:$E$20, 2, 0)</f>
        <v>3</v>
      </c>
      <c r="C10" s="47">
        <f>VLOOKUP('Office Paper Data Inputs'!C10, 'Office Paper Settings'!$D$17:$E$20, 2, 0)</f>
        <v>5</v>
      </c>
      <c r="D10" s="45">
        <f>VLOOKUP('Office Paper Data Inputs'!D10, 'Office Paper Settings'!$D$17:$E$20, 2, 0)</f>
        <v>3</v>
      </c>
      <c r="E10" s="47">
        <f>VLOOKUP('Office Paper Data Inputs'!E10, 'Office Paper Settings'!$D$17:$E$20, 2, 0)</f>
        <v>3</v>
      </c>
      <c r="F10" s="45">
        <f>VLOOKUP('Office Paper Data Inputs'!F10, 'Office Paper Settings'!$D$17:$E$20, 2, 0)</f>
        <v>3</v>
      </c>
      <c r="G10" s="47">
        <f>VLOOKUP('Office Paper Data Inputs'!G10, 'Office Paper Settings'!$D$17:$E$20, 2, 0)</f>
        <v>3</v>
      </c>
      <c r="H10" s="45">
        <f>VLOOKUP('Office Paper Data Inputs'!H10, 'Office Paper Settings'!$D$17:$E$20, 2, 0)</f>
        <v>3</v>
      </c>
      <c r="I10" s="47">
        <f>VLOOKUP('Office Paper Data Inputs'!I10, 'Office Paper Settings'!$D$17:$E$20, 2, 0)</f>
        <v>3</v>
      </c>
      <c r="J10" s="45">
        <f>VLOOKUP('Office Paper Data Inputs'!J10, 'Office Paper Settings'!$D$17:$E$20, 2, 0)</f>
        <v>3</v>
      </c>
      <c r="K10" s="75">
        <f>VLOOKUP('Office Paper Data Inputs'!K10, 'Office Paper Settings'!$D$17:$E$20, 2, 0)</f>
        <v>3</v>
      </c>
    </row>
    <row r="11" spans="1:16" ht="29.25" customHeight="1" thickBot="1">
      <c r="A11" s="54" t="s">
        <v>19</v>
      </c>
      <c r="B11" s="45">
        <f>VLOOKUP('Office Paper Data Inputs'!B11, 'Office Paper Settings'!$D$23:$E$26, 2, 0)</f>
        <v>6</v>
      </c>
      <c r="C11" s="47">
        <f>VLOOKUP('Office Paper Data Inputs'!C11, 'Office Paper Settings'!$D$23:$E$26, 2, 0)</f>
        <v>6</v>
      </c>
      <c r="D11" s="45">
        <f>VLOOKUP('Office Paper Data Inputs'!D11, 'Office Paper Settings'!$D$23:$E$26, 2, 0)</f>
        <v>6</v>
      </c>
      <c r="E11" s="47">
        <f>VLOOKUP('Office Paper Data Inputs'!E11, 'Office Paper Settings'!$D$23:$E$26, 2, 0)</f>
        <v>3</v>
      </c>
      <c r="F11" s="45">
        <f>VLOOKUP('Office Paper Data Inputs'!F11, 'Office Paper Settings'!$D$23:$E$26, 2, 0)</f>
        <v>6</v>
      </c>
      <c r="G11" s="47">
        <f>VLOOKUP('Office Paper Data Inputs'!G11, 'Office Paper Settings'!$D$23:$E$26, 2, 0)</f>
        <v>6</v>
      </c>
      <c r="H11" s="45">
        <f>VLOOKUP('Office Paper Data Inputs'!H11, 'Office Paper Settings'!$D$23:$E$26, 2, 0)</f>
        <v>3</v>
      </c>
      <c r="I11" s="47">
        <f>VLOOKUP('Office Paper Data Inputs'!I11, 'Office Paper Settings'!$D$23:$E$26, 2, 0)</f>
        <v>6</v>
      </c>
      <c r="J11" s="45">
        <f>VLOOKUP('Office Paper Data Inputs'!J11, 'Office Paper Settings'!$D$23:$E$26, 2, 0)</f>
        <v>6</v>
      </c>
      <c r="K11" s="75">
        <f>VLOOKUP('Office Paper Data Inputs'!K11, 'Office Paper Settings'!$D$23:$E$26, 2, 0)</f>
        <v>3</v>
      </c>
    </row>
    <row r="12" spans="1:16" ht="33.75" hidden="1" thickBot="1">
      <c r="A12" s="54" t="s">
        <v>4</v>
      </c>
      <c r="B12" s="45">
        <v>4</v>
      </c>
      <c r="C12" s="47">
        <v>4</v>
      </c>
      <c r="D12" s="45">
        <v>4</v>
      </c>
      <c r="E12" s="47">
        <v>4</v>
      </c>
      <c r="F12" s="45">
        <v>4</v>
      </c>
      <c r="G12" s="47">
        <v>4</v>
      </c>
      <c r="H12" s="45">
        <v>4</v>
      </c>
      <c r="I12" s="47">
        <v>4</v>
      </c>
      <c r="J12" s="45">
        <v>4</v>
      </c>
      <c r="K12" s="75">
        <v>4</v>
      </c>
    </row>
    <row r="13" spans="1:16" ht="29.25" hidden="1" customHeight="1">
      <c r="A13" s="54" t="s">
        <v>9</v>
      </c>
      <c r="B13" s="45">
        <v>4</v>
      </c>
      <c r="C13" s="47">
        <v>4</v>
      </c>
      <c r="D13" s="45">
        <v>4</v>
      </c>
      <c r="E13" s="47">
        <v>4</v>
      </c>
      <c r="F13" s="45">
        <v>4</v>
      </c>
      <c r="G13" s="47">
        <v>4</v>
      </c>
      <c r="H13" s="45">
        <v>4</v>
      </c>
      <c r="I13" s="47">
        <v>4</v>
      </c>
      <c r="J13" s="45">
        <v>4</v>
      </c>
      <c r="K13" s="75">
        <v>4</v>
      </c>
    </row>
    <row r="14" spans="1:16" ht="29.25" hidden="1" customHeight="1">
      <c r="A14" s="54" t="s">
        <v>10</v>
      </c>
      <c r="B14" s="45">
        <v>4</v>
      </c>
      <c r="C14" s="47">
        <v>4</v>
      </c>
      <c r="D14" s="45">
        <v>4</v>
      </c>
      <c r="E14" s="47">
        <v>4</v>
      </c>
      <c r="F14" s="45">
        <v>4</v>
      </c>
      <c r="G14" s="47">
        <v>4</v>
      </c>
      <c r="H14" s="45">
        <v>4</v>
      </c>
      <c r="I14" s="47">
        <v>4</v>
      </c>
      <c r="J14" s="45">
        <v>4</v>
      </c>
      <c r="K14" s="75">
        <v>4</v>
      </c>
    </row>
    <row r="15" spans="1:16" ht="29.25" hidden="1" customHeight="1">
      <c r="A15" s="54" t="s">
        <v>11</v>
      </c>
      <c r="B15" s="45">
        <v>4</v>
      </c>
      <c r="C15" s="47">
        <v>4</v>
      </c>
      <c r="D15" s="45">
        <v>4</v>
      </c>
      <c r="E15" s="47">
        <v>4</v>
      </c>
      <c r="F15" s="45">
        <v>4</v>
      </c>
      <c r="G15" s="47">
        <v>4</v>
      </c>
      <c r="H15" s="45">
        <v>4</v>
      </c>
      <c r="I15" s="47">
        <v>4</v>
      </c>
      <c r="J15" s="45">
        <v>4</v>
      </c>
      <c r="K15" s="75">
        <v>4</v>
      </c>
    </row>
    <row r="16" spans="1:16" ht="29.25" hidden="1" customHeight="1">
      <c r="A16" s="61" t="s">
        <v>25</v>
      </c>
      <c r="B16" s="62">
        <v>4</v>
      </c>
      <c r="C16" s="51">
        <v>4</v>
      </c>
      <c r="D16" s="62">
        <v>4</v>
      </c>
      <c r="E16" s="51">
        <v>4</v>
      </c>
      <c r="F16" s="62">
        <v>4</v>
      </c>
      <c r="G16" s="51">
        <v>4</v>
      </c>
      <c r="H16" s="62">
        <v>4</v>
      </c>
      <c r="I16" s="51">
        <v>4</v>
      </c>
      <c r="J16" s="62">
        <v>4</v>
      </c>
      <c r="K16" s="77">
        <v>4</v>
      </c>
    </row>
    <row r="17" spans="1:11" ht="29.25" customHeight="1" thickBot="1">
      <c r="A17" s="52" t="s">
        <v>1</v>
      </c>
      <c r="B17" s="67">
        <f>(B18*('Office Paper Settings'!$B$27/100)+('Office Paper'!B19*('Office Paper Settings'!$B$28/100)))</f>
        <v>4</v>
      </c>
      <c r="C17" s="68">
        <f>SUM(C19)</f>
        <v>4</v>
      </c>
      <c r="D17" s="67">
        <f>SUM(D19)</f>
        <v>4</v>
      </c>
      <c r="E17" s="68">
        <f t="shared" ref="E17:J17" si="0">SUM(E19)</f>
        <v>4</v>
      </c>
      <c r="F17" s="67">
        <f t="shared" si="0"/>
        <v>4</v>
      </c>
      <c r="G17" s="68">
        <f t="shared" si="0"/>
        <v>4</v>
      </c>
      <c r="H17" s="67">
        <f t="shared" si="0"/>
        <v>4</v>
      </c>
      <c r="I17" s="68">
        <f t="shared" si="0"/>
        <v>4</v>
      </c>
      <c r="J17" s="67">
        <f t="shared" si="0"/>
        <v>4</v>
      </c>
      <c r="K17" s="81">
        <f t="shared" ref="K17" si="1">SUM(K19)</f>
        <v>4</v>
      </c>
    </row>
    <row r="18" spans="1:11" ht="45">
      <c r="A18" s="69" t="s">
        <v>42</v>
      </c>
      <c r="B18" s="64">
        <f>'Office Paper Data Inputs'!B18</f>
        <v>4</v>
      </c>
      <c r="C18" s="65">
        <f>'Office Paper Data Inputs'!C18</f>
        <v>4</v>
      </c>
      <c r="D18" s="64">
        <f>'Office Paper Data Inputs'!D18</f>
        <v>4</v>
      </c>
      <c r="E18" s="65">
        <f>'Office Paper Data Inputs'!E18</f>
        <v>4</v>
      </c>
      <c r="F18" s="64">
        <f>'Office Paper Data Inputs'!F18</f>
        <v>4</v>
      </c>
      <c r="G18" s="65">
        <f>'Office Paper Data Inputs'!G18</f>
        <v>4</v>
      </c>
      <c r="H18" s="64">
        <f>'Office Paper Data Inputs'!H18</f>
        <v>4</v>
      </c>
      <c r="I18" s="65">
        <f>'Office Paper Data Inputs'!I18</f>
        <v>4</v>
      </c>
      <c r="J18" s="64">
        <f>'Office Paper Data Inputs'!J18</f>
        <v>4</v>
      </c>
      <c r="K18" s="80">
        <f>'Office Paper Data Inputs'!K18</f>
        <v>4</v>
      </c>
    </row>
    <row r="19" spans="1:11" ht="30.75" thickBot="1">
      <c r="A19" s="54" t="s">
        <v>41</v>
      </c>
      <c r="B19" s="46">
        <f>'Office Paper Data Inputs'!B19</f>
        <v>4</v>
      </c>
      <c r="C19" s="47">
        <f>'Office Paper Data Inputs'!C19</f>
        <v>4</v>
      </c>
      <c r="D19" s="46">
        <f>'Office Paper Data Inputs'!D19</f>
        <v>4</v>
      </c>
      <c r="E19" s="47">
        <f>'Office Paper Data Inputs'!E19</f>
        <v>4</v>
      </c>
      <c r="F19" s="46">
        <f>'Office Paper Data Inputs'!F19</f>
        <v>4</v>
      </c>
      <c r="G19" s="47">
        <f>'Office Paper Data Inputs'!G19</f>
        <v>4</v>
      </c>
      <c r="H19" s="46">
        <f>'Office Paper Data Inputs'!H19</f>
        <v>4</v>
      </c>
      <c r="I19" s="47">
        <f>'Office Paper Data Inputs'!I19</f>
        <v>4</v>
      </c>
      <c r="J19" s="46">
        <f>'Office Paper Data Inputs'!J19</f>
        <v>4</v>
      </c>
      <c r="K19" s="75">
        <f>'Office Paper Data Inputs'!K19</f>
        <v>4</v>
      </c>
    </row>
    <row r="20" spans="1:11" ht="29.25" customHeight="1" thickBot="1">
      <c r="A20" s="52" t="s">
        <v>5</v>
      </c>
      <c r="B20" s="78">
        <f>(B3*('Office Paper Settings'!$B$3/100))+('Office Paper'!B8*('Office Paper Settings'!$B$4/100))+'Office Paper'!B17*('Office Paper Settings'!$B$5/100)</f>
        <v>4.2725</v>
      </c>
      <c r="C20" s="88">
        <f>(C3*('Office Paper Settings'!$B$3/100))+('Office Paper'!C8*('Office Paper Settings'!$B$4/100))+'Office Paper'!C17*('Office Paper Settings'!$B$5/100)</f>
        <v>4.9725000000000001</v>
      </c>
      <c r="D20" s="78">
        <f>(D3*('Office Paper Settings'!$B$3/100))+('Office Paper'!D8*('Office Paper Settings'!$B$4/100))+'Office Paper'!D17*('Office Paper Settings'!$B$5/100)</f>
        <v>3.9224999999999999</v>
      </c>
      <c r="E20" s="88">
        <f>(E3*('Office Paper Settings'!$B$3/100))+('Office Paper'!E8*('Office Paper Settings'!$B$4/100))+'Office Paper'!E17*('Office Paper Settings'!$B$5/100)</f>
        <v>3.18</v>
      </c>
      <c r="F20" s="78">
        <f>(F3*('Office Paper Settings'!$B$3/100))+('Office Paper'!F8*('Office Paper Settings'!$B$4/100))+'Office Paper'!F17*('Office Paper Settings'!$B$5/100)</f>
        <v>4.0875000000000004</v>
      </c>
      <c r="G20" s="88">
        <f>(G3*('Office Paper Settings'!$B$3/100))+('Office Paper'!G8*('Office Paper Settings'!$B$4/100))+'Office Paper'!G17*('Office Paper Settings'!$B$5/100)</f>
        <v>3.6725000000000003</v>
      </c>
      <c r="H20" s="78">
        <f>(H3*('Office Paper Settings'!$B$3/100))+('Office Paper'!H8*('Office Paper Settings'!$B$4/100))+'Office Paper'!H17*('Office Paper Settings'!$B$5/100)</f>
        <v>3.66</v>
      </c>
      <c r="I20" s="88">
        <f>(I3*('Office Paper Settings'!$B$3/100))+('Office Paper'!I8*('Office Paper Settings'!$B$4/100))+'Office Paper'!I17*('Office Paper Settings'!$B$5/100)</f>
        <v>3.9224999999999999</v>
      </c>
      <c r="J20" s="78">
        <f>(J3*('Office Paper Settings'!$B$3/100))+('Office Paper'!J8*('Office Paper Settings'!$B$4/100))+'Office Paper'!J17*('Office Paper Settings'!$B$5/100)</f>
        <v>4.2725</v>
      </c>
      <c r="K20" s="89">
        <f>(K3*('Office Paper Settings'!$B$3/100))+('Office Paper'!K8*('Office Paper Settings'!$B$4/100))+'Office Paper'!K17*('Office Paper Settings'!$B$5/100)</f>
        <v>3.0600000000000005</v>
      </c>
    </row>
  </sheetData>
  <sheetProtection sheet="1" objects="1" scenarios="1"/>
  <mergeCells count="2">
    <mergeCell ref="O4:P4"/>
    <mergeCell ref="E1:N1"/>
  </mergeCells>
  <conditionalFormatting sqref="O5:O7 B3:J19">
    <cfRule type="iconSet" priority="7">
      <iconSet iconSet="3Signs" showValue="0">
        <cfvo type="percent" val="0"/>
        <cfvo type="num" val="3"/>
        <cfvo type="num" val="5"/>
      </iconSet>
    </cfRule>
  </conditionalFormatting>
  <conditionalFormatting sqref="L4:L19">
    <cfRule type="iconSet" priority="4">
      <iconSet iconSet="3Signs" showValue="0">
        <cfvo type="percent" val="0"/>
        <cfvo type="num" val="3"/>
        <cfvo type="num" val="5"/>
      </iconSet>
    </cfRule>
  </conditionalFormatting>
  <conditionalFormatting sqref="L3">
    <cfRule type="iconSet" priority="2">
      <iconSet iconSet="3Signs" showValue="0">
        <cfvo type="percent" val="0"/>
        <cfvo type="num" val="3"/>
        <cfvo type="num" val="5"/>
      </iconSet>
    </cfRule>
  </conditionalFormatting>
  <conditionalFormatting sqref="K3:K19">
    <cfRule type="iconSet" priority="1">
      <iconSet iconSet="3Signs" showValue="0">
        <cfvo type="percent" val="0"/>
        <cfvo type="num" val="3"/>
        <cfvo type="num" val="5"/>
      </iconSet>
    </cfRule>
  </conditionalFormatting>
  <pageMargins left="0.7" right="0.7" top="0.75" bottom="0.75" header="0.3" footer="0.3"/>
  <pageSetup orientation="portrait" verticalDpi="1200" r:id="rId1"/>
  <legacyDrawing r:id="rId2"/>
</worksheet>
</file>

<file path=xl/worksheets/sheet3.xml><?xml version="1.0" encoding="utf-8"?>
<worksheet xmlns="http://schemas.openxmlformats.org/spreadsheetml/2006/main" xmlns:r="http://schemas.openxmlformats.org/officeDocument/2006/relationships">
  <sheetPr codeName="Sheet2"/>
  <dimension ref="A1:N20"/>
  <sheetViews>
    <sheetView zoomScale="75" zoomScaleNormal="75" workbookViewId="0">
      <pane ySplit="2" topLeftCell="A3" activePane="bottomLeft" state="frozen"/>
      <selection activeCell="C2" sqref="C2"/>
      <selection pane="bottomLeft"/>
    </sheetView>
  </sheetViews>
  <sheetFormatPr defaultRowHeight="15"/>
  <cols>
    <col min="1" max="1" width="19.5703125" style="1" customWidth="1"/>
    <col min="2" max="15" width="10.42578125" customWidth="1"/>
  </cols>
  <sheetData>
    <row r="1" spans="1:14" ht="15.75" thickBot="1">
      <c r="E1" s="103" t="s">
        <v>77</v>
      </c>
      <c r="F1" s="104"/>
      <c r="G1" s="104"/>
      <c r="H1" s="104"/>
      <c r="I1" s="104"/>
      <c r="J1" s="104"/>
      <c r="K1" s="104"/>
      <c r="L1" s="104"/>
      <c r="M1" s="104"/>
      <c r="N1" s="104"/>
    </row>
    <row r="2" spans="1:14" ht="250.5" customHeight="1" thickBot="1">
      <c r="A2" s="1" t="s">
        <v>71</v>
      </c>
      <c r="B2" s="72" t="s">
        <v>64</v>
      </c>
      <c r="C2" s="73" t="s">
        <v>65</v>
      </c>
      <c r="D2" s="72" t="s">
        <v>66</v>
      </c>
      <c r="E2" s="73" t="s">
        <v>67</v>
      </c>
      <c r="F2" s="72" t="s">
        <v>68</v>
      </c>
      <c r="G2" s="73" t="s">
        <v>73</v>
      </c>
      <c r="H2" s="72" t="s">
        <v>74</v>
      </c>
      <c r="I2" s="73" t="s">
        <v>69</v>
      </c>
      <c r="J2" s="72" t="s">
        <v>70</v>
      </c>
      <c r="K2" s="83" t="s">
        <v>76</v>
      </c>
    </row>
    <row r="3" spans="1:14" ht="29.25" customHeight="1" thickBot="1">
      <c r="A3" s="53" t="s">
        <v>6</v>
      </c>
      <c r="B3" s="67">
        <f>('Office Paper'!B4*('Office Paper Settings'!$B$9/100)+B5*('Office Paper Settings'!$B$10/100)+(B6*('Office Paper Settings'!$B$11/100))+(B7*('Office Paper Settings'!$B$12/100)))</f>
        <v>4.8999999999999995</v>
      </c>
      <c r="C3" s="68">
        <f>('Office Paper'!C4*('Office Paper Settings'!$B$9/100)+C5*('Office Paper Settings'!$B$10/100)+(C6*('Office Paper Settings'!$B$11/100))+(C7*('Office Paper Settings'!$B$12/100)))</f>
        <v>4.8999999999999995</v>
      </c>
      <c r="D3" s="67">
        <f>('Office Paper'!D4*('Office Paper Settings'!$B$9/100)+D5*('Office Paper Settings'!$B$10/100)+(D6*('Office Paper Settings'!$B$11/100))+(D7*('Office Paper Settings'!$B$12/100)))</f>
        <v>4.8999999999999995</v>
      </c>
      <c r="E3" s="68">
        <f>('Office Paper'!E4*('Office Paper Settings'!$B$9/100)+E5*('Office Paper Settings'!$B$10/100)+(E6*('Office Paper Settings'!$B$11/100))+(E7*('Office Paper Settings'!$B$12/100)))</f>
        <v>3.7</v>
      </c>
      <c r="F3" s="67">
        <f>('Office Paper'!F4*('Office Paper Settings'!$B$9/100)+F5*('Office Paper Settings'!$B$10/100)+(F6*('Office Paper Settings'!$B$11/100))+(F7*('Office Paper Settings'!$B$12/100)))</f>
        <v>4</v>
      </c>
      <c r="G3" s="68">
        <f>('Office Paper'!G4*('Office Paper Settings'!$B$9/100)+G5*('Office Paper Settings'!$B$10/100)+(G6*('Office Paper Settings'!$B$11/100))+(G7*('Office Paper Settings'!$B$12/100)))</f>
        <v>3.4000000000000004</v>
      </c>
      <c r="H3" s="67">
        <f>('Office Paper'!H4*('Office Paper Settings'!$B$9/100)+H5*('Office Paper Settings'!$B$10/100)+(H6*('Office Paper Settings'!$B$11/100))+(H7*('Office Paper Settings'!$B$12/100)))</f>
        <v>4.8999999999999995</v>
      </c>
      <c r="I3" s="68">
        <f>('Office Paper'!I4*('Office Paper Settings'!$B$9/100)+I5*('Office Paper Settings'!$B$10/100)+(I6*('Office Paper Settings'!$B$11/100))+(I7*('Office Paper Settings'!$B$12/100)))</f>
        <v>4.8999999999999995</v>
      </c>
      <c r="J3" s="67">
        <f>('Office Paper'!J4*('Office Paper Settings'!$B$9/100)+J5*('Office Paper Settings'!$B$10/100)+(J6*('Office Paper Settings'!$B$11/100))+(J7*('Office Paper Settings'!$B$12/100)))</f>
        <v>4.8999999999999995</v>
      </c>
      <c r="K3" s="66">
        <f>('Office Paper'!K4*('Office Paper Settings'!$B$9/100)+K5*('Office Paper Settings'!$B$10/100)+(K6*('Office Paper Settings'!$B$11/100))+(K7*('Office Paper Settings'!$B$12/100)))</f>
        <v>3.4000000000000004</v>
      </c>
    </row>
    <row r="4" spans="1:14" ht="29.25" customHeight="1">
      <c r="A4" s="82" t="s">
        <v>2</v>
      </c>
      <c r="B4" s="84">
        <v>34.35</v>
      </c>
      <c r="C4" s="85">
        <v>44.04</v>
      </c>
      <c r="D4" s="84">
        <v>36</v>
      </c>
      <c r="E4" s="85">
        <v>57.07</v>
      </c>
      <c r="F4" s="84">
        <v>52.39</v>
      </c>
      <c r="G4" s="85">
        <v>63.79</v>
      </c>
      <c r="H4" s="84">
        <v>42.72</v>
      </c>
      <c r="I4" s="85">
        <v>40.42</v>
      </c>
      <c r="J4" s="84">
        <v>46.6</v>
      </c>
      <c r="K4" s="86">
        <v>84.02</v>
      </c>
    </row>
    <row r="5" spans="1:14" ht="29.25" customHeight="1">
      <c r="A5" s="2" t="s">
        <v>28</v>
      </c>
      <c r="B5" s="45">
        <v>4</v>
      </c>
      <c r="C5" s="47">
        <v>4</v>
      </c>
      <c r="D5" s="45">
        <v>4</v>
      </c>
      <c r="E5" s="47">
        <v>4</v>
      </c>
      <c r="F5" s="45">
        <v>4</v>
      </c>
      <c r="G5" s="47">
        <v>4</v>
      </c>
      <c r="H5" s="45">
        <v>4</v>
      </c>
      <c r="I5" s="47">
        <v>4</v>
      </c>
      <c r="J5" s="45">
        <v>4</v>
      </c>
      <c r="K5" s="75">
        <v>4</v>
      </c>
      <c r="L5" s="44"/>
    </row>
    <row r="6" spans="1:14" ht="29.25" customHeight="1">
      <c r="A6" s="2" t="s">
        <v>7</v>
      </c>
      <c r="B6" s="45">
        <v>4</v>
      </c>
      <c r="C6" s="47">
        <v>4</v>
      </c>
      <c r="D6" s="45">
        <v>4</v>
      </c>
      <c r="E6" s="47">
        <v>4</v>
      </c>
      <c r="F6" s="45">
        <v>4</v>
      </c>
      <c r="G6" s="47">
        <v>4</v>
      </c>
      <c r="H6" s="45">
        <v>4</v>
      </c>
      <c r="I6" s="47">
        <v>4</v>
      </c>
      <c r="J6" s="45">
        <v>4</v>
      </c>
      <c r="K6" s="75">
        <v>4</v>
      </c>
      <c r="L6" s="44"/>
    </row>
    <row r="7" spans="1:14" ht="29.25" customHeight="1" thickBot="1">
      <c r="A7" s="43" t="s">
        <v>8</v>
      </c>
      <c r="B7" s="62">
        <v>5</v>
      </c>
      <c r="C7" s="51">
        <v>5</v>
      </c>
      <c r="D7" s="62">
        <v>5</v>
      </c>
      <c r="E7" s="51">
        <v>5</v>
      </c>
      <c r="F7" s="62">
        <v>5</v>
      </c>
      <c r="G7" s="51">
        <v>5</v>
      </c>
      <c r="H7" s="62">
        <v>5</v>
      </c>
      <c r="I7" s="51">
        <v>5</v>
      </c>
      <c r="J7" s="62">
        <v>5</v>
      </c>
      <c r="K7" s="77">
        <v>5</v>
      </c>
      <c r="L7" s="44"/>
    </row>
    <row r="8" spans="1:14" ht="29.25" customHeight="1" thickBot="1">
      <c r="A8" s="53" t="s">
        <v>0</v>
      </c>
      <c r="B8" s="67">
        <f>('Office Paper'!B9*('Office Paper Settings'!$B$16/100)) + ('Office Paper'!B10 * ('Office Paper Settings'!$B$17/100)) + ('Office Paper'!B11 * ('Office Paper Settings'!$B$18/100)) + (B12* ('Office Paper Settings'!$B$19/100)) + (B13*('Office Paper Settings'!$B$20/100)) + (B14*('Office Paper Settings'!$B$21/100))+(B15*('Office Paper Settings'!$B$22/100)) +(B16*('Office Paper Settings'!$B$23/100))</f>
        <v>3.75</v>
      </c>
      <c r="C8" s="68">
        <f>('Office Paper'!C9*('Office Paper Settings'!$B$16/100)) + ('Office Paper'!C10 * ('Office Paper Settings'!$B$17/100)) + ('Office Paper'!C11 * ('Office Paper Settings'!$B$18/100)) + (C12* ('Office Paper Settings'!$B$19/100)) + (C13*('Office Paper Settings'!$B$20/100)) + (C14*('Office Paper Settings'!$B$21/100))+(C15*('Office Paper Settings'!$B$22/100)) +(C16*('Office Paper Settings'!$B$23/100))</f>
        <v>5.75</v>
      </c>
      <c r="D8" s="67">
        <f>('Office Paper'!D9*('Office Paper Settings'!$B$16/100)) + ('Office Paper'!D10 * ('Office Paper Settings'!$B$17/100)) + ('Office Paper'!D11 * ('Office Paper Settings'!$B$18/100)) + (D12* ('Office Paper Settings'!$B$19/100)) + (D13*('Office Paper Settings'!$B$20/100)) + (D14*('Office Paper Settings'!$B$21/100))+(D15*('Office Paper Settings'!$B$22/100)) +(D16*('Office Paper Settings'!$B$23/100))</f>
        <v>2.75</v>
      </c>
      <c r="E8" s="68">
        <f>('Office Paper'!E9*('Office Paper Settings'!$B$16/100)) + ('Office Paper'!E10 * ('Office Paper Settings'!$B$17/100)) + ('Office Paper'!E11 * ('Office Paper Settings'!$B$18/100)) + (E12* ('Office Paper Settings'!$B$19/100)) + (E13*('Office Paper Settings'!$B$20/100)) + (E14*('Office Paper Settings'!$B$21/100))+(E15*('Office Paper Settings'!$B$22/100)) +(E16*('Office Paper Settings'!$B$23/100))</f>
        <v>2</v>
      </c>
      <c r="F8" s="67">
        <f>('Office Paper'!F9*('Office Paper Settings'!$B$16/100)) + ('Office Paper'!F10 * ('Office Paper Settings'!$B$17/100)) + ('Office Paper'!F11 * ('Office Paper Settings'!$B$18/100)) + (F12* ('Office Paper Settings'!$B$19/100)) + (F13*('Office Paper Settings'!$B$20/100)) + (F14*('Office Paper Settings'!$B$21/100))+(F15*('Office Paper Settings'!$B$22/100)) +(F16*('Office Paper Settings'!$B$23/100))</f>
        <v>4.25</v>
      </c>
      <c r="G8" s="68">
        <f>('Office Paper'!G9*('Office Paper Settings'!$B$16/100)) + ('Office Paper'!G10 * ('Office Paper Settings'!$B$17/100)) + ('Office Paper'!G11 * ('Office Paper Settings'!$B$18/100)) + (G12* ('Office Paper Settings'!$B$19/100)) + (G13*('Office Paper Settings'!$B$20/100)) + (G14*('Office Paper Settings'!$B$21/100))+(G15*('Office Paper Settings'!$B$22/100)) +(G16*('Office Paper Settings'!$B$23/100))</f>
        <v>3.75</v>
      </c>
      <c r="H8" s="67">
        <f>('Office Paper'!H9*('Office Paper Settings'!$B$16/100)) + ('Office Paper'!H10 * ('Office Paper Settings'!$B$17/100)) + ('Office Paper'!H11 * ('Office Paper Settings'!$B$18/100)) + (H12* ('Office Paper Settings'!$B$19/100)) + (H13*('Office Paper Settings'!$B$20/100)) + (H14*('Office Paper Settings'!$B$21/100))+(H15*('Office Paper Settings'!$B$22/100)) +(H16*('Office Paper Settings'!$B$23/100))</f>
        <v>2</v>
      </c>
      <c r="I8" s="68">
        <f>('Office Paper'!I9*('Office Paper Settings'!$B$16/100)) + ('Office Paper'!I10 * ('Office Paper Settings'!$B$17/100)) + ('Office Paper'!I11 * ('Office Paper Settings'!$B$18/100)) + (I12* ('Office Paper Settings'!$B$19/100)) + (I13*('Office Paper Settings'!$B$20/100)) + (I14*('Office Paper Settings'!$B$21/100))+(I15*('Office Paper Settings'!$B$22/100)) +(I16*('Office Paper Settings'!$B$23/100))</f>
        <v>2.75</v>
      </c>
      <c r="J8" s="67">
        <f>('Office Paper'!J9*('Office Paper Settings'!$B$16/100)) + ('Office Paper'!J10 * ('Office Paper Settings'!$B$17/100)) + ('Office Paper'!J11 * ('Office Paper Settings'!$B$18/100)) + (J12* ('Office Paper Settings'!$B$19/100)) + (J13*('Office Paper Settings'!$B$20/100)) + (J14*('Office Paper Settings'!$B$21/100))+(J15*('Office Paper Settings'!$B$22/100)) +(J16*('Office Paper Settings'!$B$23/100))</f>
        <v>3.75</v>
      </c>
      <c r="K8" s="81">
        <f>('Office Paper'!K9*('Office Paper Settings'!$B$16/100)) + ('Office Paper'!K10 * ('Office Paper Settings'!$B$17/100)) + ('Office Paper'!K11 * ('Office Paper Settings'!$B$18/100)) + (K12* ('Office Paper Settings'!$B$19/100)) + (K13*('Office Paper Settings'!$B$20/100)) + (K14*('Office Paper Settings'!$B$21/100))+(K15*('Office Paper Settings'!$B$22/100)) +(K16*('Office Paper Settings'!$B$23/100))</f>
        <v>2</v>
      </c>
    </row>
    <row r="9" spans="1:14" ht="29.25" customHeight="1">
      <c r="A9" s="82" t="s">
        <v>3</v>
      </c>
      <c r="B9" s="64">
        <v>30</v>
      </c>
      <c r="C9" s="65">
        <v>100</v>
      </c>
      <c r="D9" s="64">
        <v>0</v>
      </c>
      <c r="E9" s="65">
        <v>0</v>
      </c>
      <c r="F9" s="64">
        <v>50</v>
      </c>
      <c r="G9" s="65">
        <v>30</v>
      </c>
      <c r="H9" s="64">
        <v>0</v>
      </c>
      <c r="I9" s="65">
        <v>0</v>
      </c>
      <c r="J9" s="64">
        <v>30</v>
      </c>
      <c r="K9" s="80">
        <v>0</v>
      </c>
    </row>
    <row r="10" spans="1:14" ht="51" customHeight="1">
      <c r="A10" s="2" t="s">
        <v>12</v>
      </c>
      <c r="B10" s="48" t="s">
        <v>18</v>
      </c>
      <c r="C10" s="50" t="s">
        <v>17</v>
      </c>
      <c r="D10" s="48" t="s">
        <v>18</v>
      </c>
      <c r="E10" s="50" t="s">
        <v>18</v>
      </c>
      <c r="F10" s="48" t="s">
        <v>18</v>
      </c>
      <c r="G10" s="50" t="s">
        <v>18</v>
      </c>
      <c r="H10" s="48" t="s">
        <v>18</v>
      </c>
      <c r="I10" s="50" t="s">
        <v>18</v>
      </c>
      <c r="J10" s="48" t="s">
        <v>18</v>
      </c>
      <c r="K10" s="76" t="s">
        <v>18</v>
      </c>
    </row>
    <row r="11" spans="1:14" ht="29.25" customHeight="1" thickBot="1">
      <c r="A11" s="2" t="s">
        <v>19</v>
      </c>
      <c r="B11" s="45" t="s">
        <v>21</v>
      </c>
      <c r="C11" s="47" t="s">
        <v>21</v>
      </c>
      <c r="D11" s="45" t="s">
        <v>21</v>
      </c>
      <c r="E11" s="47" t="s">
        <v>22</v>
      </c>
      <c r="F11" s="45" t="s">
        <v>21</v>
      </c>
      <c r="G11" s="47" t="s">
        <v>21</v>
      </c>
      <c r="H11" s="45" t="s">
        <v>22</v>
      </c>
      <c r="I11" s="47" t="s">
        <v>21</v>
      </c>
      <c r="J11" s="45" t="s">
        <v>21</v>
      </c>
      <c r="K11" s="75" t="s">
        <v>22</v>
      </c>
    </row>
    <row r="12" spans="1:14" ht="33.75" hidden="1" thickBot="1">
      <c r="A12" s="2" t="s">
        <v>4</v>
      </c>
      <c r="B12" s="45">
        <v>1</v>
      </c>
      <c r="C12" s="47">
        <v>1</v>
      </c>
      <c r="D12" s="45">
        <v>1</v>
      </c>
      <c r="E12" s="47">
        <v>1</v>
      </c>
      <c r="F12" s="45">
        <v>1</v>
      </c>
      <c r="G12" s="47">
        <v>1</v>
      </c>
      <c r="H12" s="45">
        <v>1</v>
      </c>
      <c r="I12" s="47">
        <v>1</v>
      </c>
      <c r="J12" s="45">
        <v>1</v>
      </c>
      <c r="K12" s="75">
        <v>1</v>
      </c>
    </row>
    <row r="13" spans="1:14" ht="29.25" hidden="1" customHeight="1">
      <c r="A13" s="2" t="s">
        <v>9</v>
      </c>
      <c r="B13" s="45">
        <v>1</v>
      </c>
      <c r="C13" s="47">
        <v>1</v>
      </c>
      <c r="D13" s="45">
        <v>1</v>
      </c>
      <c r="E13" s="47">
        <v>1</v>
      </c>
      <c r="F13" s="45">
        <v>1</v>
      </c>
      <c r="G13" s="47">
        <v>1</v>
      </c>
      <c r="H13" s="45">
        <v>1</v>
      </c>
      <c r="I13" s="47">
        <v>1</v>
      </c>
      <c r="J13" s="45">
        <v>1</v>
      </c>
      <c r="K13" s="75">
        <v>1</v>
      </c>
    </row>
    <row r="14" spans="1:14" ht="29.25" hidden="1" customHeight="1">
      <c r="A14" s="2" t="s">
        <v>10</v>
      </c>
      <c r="B14" s="45">
        <v>1</v>
      </c>
      <c r="C14" s="47">
        <v>1</v>
      </c>
      <c r="D14" s="45">
        <v>1</v>
      </c>
      <c r="E14" s="47">
        <v>1</v>
      </c>
      <c r="F14" s="45">
        <v>1</v>
      </c>
      <c r="G14" s="47">
        <v>1</v>
      </c>
      <c r="H14" s="45">
        <v>1</v>
      </c>
      <c r="I14" s="47">
        <v>1</v>
      </c>
      <c r="J14" s="45">
        <v>1</v>
      </c>
      <c r="K14" s="75">
        <v>1</v>
      </c>
    </row>
    <row r="15" spans="1:14" ht="29.25" hidden="1" customHeight="1">
      <c r="A15" s="2" t="s">
        <v>11</v>
      </c>
      <c r="B15" s="45">
        <v>1</v>
      </c>
      <c r="C15" s="47">
        <v>1</v>
      </c>
      <c r="D15" s="45">
        <v>1</v>
      </c>
      <c r="E15" s="47">
        <v>1</v>
      </c>
      <c r="F15" s="45">
        <v>1</v>
      </c>
      <c r="G15" s="47">
        <v>1</v>
      </c>
      <c r="H15" s="45">
        <v>1</v>
      </c>
      <c r="I15" s="47">
        <v>1</v>
      </c>
      <c r="J15" s="45">
        <v>1</v>
      </c>
      <c r="K15" s="75">
        <v>1</v>
      </c>
    </row>
    <row r="16" spans="1:14" ht="29.25" hidden="1" customHeight="1" thickBot="1">
      <c r="A16" s="43" t="s">
        <v>25</v>
      </c>
      <c r="B16" s="62">
        <v>1</v>
      </c>
      <c r="C16" s="51">
        <v>1</v>
      </c>
      <c r="D16" s="62">
        <v>1</v>
      </c>
      <c r="E16" s="51">
        <v>1</v>
      </c>
      <c r="F16" s="62">
        <v>1</v>
      </c>
      <c r="G16" s="51">
        <v>1</v>
      </c>
      <c r="H16" s="62">
        <v>1</v>
      </c>
      <c r="I16" s="51">
        <v>1</v>
      </c>
      <c r="J16" s="62">
        <v>1</v>
      </c>
      <c r="K16" s="77">
        <v>1</v>
      </c>
    </row>
    <row r="17" spans="1:11" ht="29.25" customHeight="1" thickBot="1">
      <c r="A17" s="53" t="s">
        <v>1</v>
      </c>
      <c r="B17" s="67">
        <f>(B18*('Office Paper Settings'!$B$27/100)+(B19*('Office Paper Settings'!$B$28/100)))</f>
        <v>4</v>
      </c>
      <c r="C17" s="68">
        <f>(C18*('Office Paper Settings'!$B$27/100)+(C19*('Office Paper Settings'!$B$28/100)))</f>
        <v>4</v>
      </c>
      <c r="D17" s="67">
        <f>(D18*('Office Paper Settings'!$B$27/100)+(D19*('Office Paper Settings'!$B$28/100)))</f>
        <v>4</v>
      </c>
      <c r="E17" s="68">
        <f>(E18*('Office Paper Settings'!$B$27/100)+(E19*('Office Paper Settings'!$B$28/100)))</f>
        <v>4</v>
      </c>
      <c r="F17" s="67">
        <f>(F18*('Office Paper Settings'!$B$27/100)+(F19*('Office Paper Settings'!$B$28/100)))</f>
        <v>4</v>
      </c>
      <c r="G17" s="68">
        <f>(G18*('Office Paper Settings'!$B$27/100)+(G19*('Office Paper Settings'!$B$28/100)))</f>
        <v>4</v>
      </c>
      <c r="H17" s="67">
        <f>(H18*('Office Paper Settings'!$B$27/100)+(H19*('Office Paper Settings'!$B$28/100)))</f>
        <v>4</v>
      </c>
      <c r="I17" s="68">
        <f>(I18*('Office Paper Settings'!$B$27/100)+(I19*('Office Paper Settings'!$B$28/100)))</f>
        <v>4</v>
      </c>
      <c r="J17" s="67">
        <f>(J18*('Office Paper Settings'!$B$27/100)+(J19*('Office Paper Settings'!$B$28/100)))</f>
        <v>4</v>
      </c>
      <c r="K17" s="81">
        <f>(K18*('Office Paper Settings'!$B$27/100)+(K19*('Office Paper Settings'!$B$28/100)))</f>
        <v>4</v>
      </c>
    </row>
    <row r="18" spans="1:11" ht="45">
      <c r="A18" s="69" t="s">
        <v>42</v>
      </c>
      <c r="B18" s="79">
        <v>4</v>
      </c>
      <c r="C18" s="65">
        <v>4</v>
      </c>
      <c r="D18" s="79">
        <v>4</v>
      </c>
      <c r="E18" s="65">
        <v>4</v>
      </c>
      <c r="F18" s="79">
        <v>4</v>
      </c>
      <c r="G18" s="65">
        <v>4</v>
      </c>
      <c r="H18" s="79">
        <v>4</v>
      </c>
      <c r="I18" s="65">
        <v>4</v>
      </c>
      <c r="J18" s="79">
        <v>4</v>
      </c>
      <c r="K18" s="80">
        <v>4</v>
      </c>
    </row>
    <row r="19" spans="1:11" ht="29.25" customHeight="1" thickBot="1">
      <c r="A19" s="43" t="s">
        <v>41</v>
      </c>
      <c r="B19" s="49">
        <v>4</v>
      </c>
      <c r="C19" s="51">
        <v>4</v>
      </c>
      <c r="D19" s="49">
        <v>4</v>
      </c>
      <c r="E19" s="51">
        <v>4</v>
      </c>
      <c r="F19" s="49">
        <v>4</v>
      </c>
      <c r="G19" s="51">
        <v>4</v>
      </c>
      <c r="H19" s="49">
        <v>4</v>
      </c>
      <c r="I19" s="51">
        <v>4</v>
      </c>
      <c r="J19" s="49">
        <v>4</v>
      </c>
      <c r="K19" s="77">
        <v>4</v>
      </c>
    </row>
    <row r="20" spans="1:11" ht="29.25" customHeight="1" thickBot="1">
      <c r="A20" s="53" t="s">
        <v>5</v>
      </c>
      <c r="B20" s="78">
        <f>(B3*('Office Paper Settings'!$B$3/100))+('Office Paper'!B8*('Office Paper Settings'!$B$4/100))+'Office Paper'!B17*('Office Paper Settings'!$B$5/100)</f>
        <v>4.2725</v>
      </c>
      <c r="C20" s="59">
        <f>(C3*('Office Paper Settings'!$B$3/100))+('Office Paper'!C8*('Office Paper Settings'!$B$4/100))+'Office Paper'!C17*('Office Paper Settings'!$B$5/100)</f>
        <v>4.9725000000000001</v>
      </c>
      <c r="D20" s="78">
        <f>(D3*('Office Paper Settings'!$B$3/100))+('Office Paper'!D8*('Office Paper Settings'!$B$4/100))+'Office Paper'!D17*('Office Paper Settings'!$B$5/100)</f>
        <v>3.9224999999999999</v>
      </c>
      <c r="E20" s="59">
        <f>(E3*('Office Paper Settings'!$B$3/100))+('Office Paper'!E8*('Office Paper Settings'!$B$4/100))+'Office Paper'!E17*('Office Paper Settings'!$B$5/100)</f>
        <v>3.18</v>
      </c>
      <c r="F20" s="78">
        <f>(F3*('Office Paper Settings'!$B$3/100))+('Office Paper'!F8*('Office Paper Settings'!$B$4/100))+'Office Paper'!F17*('Office Paper Settings'!$B$5/100)</f>
        <v>4.0875000000000004</v>
      </c>
      <c r="G20" s="59">
        <f>(G3*('Office Paper Settings'!$B$3/100))+('Office Paper'!G8*('Office Paper Settings'!$B$4/100))+'Office Paper'!G17*('Office Paper Settings'!$B$5/100)</f>
        <v>3.6725000000000003</v>
      </c>
      <c r="H20" s="78">
        <f>(H3*('Office Paper Settings'!$B$3/100))+('Office Paper'!H8*('Office Paper Settings'!$B$4/100))+'Office Paper'!H17*('Office Paper Settings'!$B$5/100)</f>
        <v>3.66</v>
      </c>
      <c r="I20" s="59">
        <f>(I3*('Office Paper Settings'!$B$3/100))+('Office Paper'!I8*('Office Paper Settings'!$B$4/100))+'Office Paper'!I17*('Office Paper Settings'!$B$5/100)</f>
        <v>3.9224999999999999</v>
      </c>
      <c r="J20" s="78">
        <f>(J3*('Office Paper Settings'!$B$3/100))+('Office Paper'!J8*('Office Paper Settings'!$B$4/100))+'Office Paper'!J17*('Office Paper Settings'!$B$5/100)</f>
        <v>4.2725</v>
      </c>
      <c r="K20" s="59">
        <f>(K3*('Office Paper Settings'!$B$3/100))+('Office Paper'!K8*('Office Paper Settings'!$B$4/100))+'Office Paper'!K17*('Office Paper Settings'!$B$5/100)</f>
        <v>3.0600000000000005</v>
      </c>
    </row>
  </sheetData>
  <sheetProtection sheet="1" objects="1" scenarios="1"/>
  <mergeCells count="1">
    <mergeCell ref="E1:N1"/>
  </mergeCells>
  <dataValidations count="2">
    <dataValidation type="list" allowBlank="1" showInputMessage="1" showErrorMessage="1" sqref="B10:K10">
      <formula1>BleachingProcess</formula1>
    </dataValidation>
    <dataValidation type="list" allowBlank="1" showInputMessage="1" showErrorMessage="1" sqref="B11:K11">
      <formula1>Certification</formula1>
    </dataValidation>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sheetPr codeName="Sheet5"/>
  <dimension ref="B2:C4"/>
  <sheetViews>
    <sheetView topLeftCell="A2" zoomScale="75" zoomScaleNormal="75" workbookViewId="0">
      <selection activeCell="C42" sqref="C42"/>
    </sheetView>
  </sheetViews>
  <sheetFormatPr defaultRowHeight="15"/>
  <cols>
    <col min="2" max="2" width="25.140625" customWidth="1"/>
    <col min="3" max="3" width="73" customWidth="1"/>
  </cols>
  <sheetData>
    <row r="2" spans="2:3">
      <c r="C2" t="s">
        <v>79</v>
      </c>
    </row>
    <row r="3" spans="2:3">
      <c r="B3" t="s">
        <v>80</v>
      </c>
      <c r="C3" t="s">
        <v>68</v>
      </c>
    </row>
    <row r="4" spans="2:3">
      <c r="B4" t="s">
        <v>81</v>
      </c>
      <c r="C4" t="s">
        <v>65</v>
      </c>
    </row>
  </sheetData>
  <dataValidations count="2">
    <dataValidation type="list" allowBlank="1" showInputMessage="1" showErrorMessage="1" sqref="C3">
      <formula1>GW_Top_Paper_Products</formula1>
    </dataValidation>
    <dataValidation type="list" allowBlank="1" showInputMessage="1" showErrorMessage="1" sqref="C4">
      <formula1>GW_Top_Paper_Products</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sheetPr codeName="Sheet4"/>
  <dimension ref="A1:B20"/>
  <sheetViews>
    <sheetView topLeftCell="A6" workbookViewId="0">
      <selection activeCell="B12" sqref="B12"/>
    </sheetView>
  </sheetViews>
  <sheetFormatPr defaultRowHeight="15"/>
  <cols>
    <col min="1" max="1" width="20.85546875" bestFit="1" customWidth="1"/>
    <col min="2" max="2" width="109.42578125" customWidth="1"/>
  </cols>
  <sheetData>
    <row r="1" spans="1:2" ht="89.25" customHeight="1">
      <c r="A1" s="105" t="s">
        <v>48</v>
      </c>
      <c r="B1" s="105"/>
    </row>
    <row r="2" spans="1:2" ht="15.75" thickBot="1"/>
    <row r="3" spans="1:2" ht="15.75" thickBot="1">
      <c r="A3" s="13" t="s">
        <v>37</v>
      </c>
      <c r="B3" s="28" t="s">
        <v>35</v>
      </c>
    </row>
    <row r="4" spans="1:2" ht="45.75" thickBot="1">
      <c r="A4" s="29" t="s">
        <v>6</v>
      </c>
      <c r="B4" s="30" t="s">
        <v>43</v>
      </c>
    </row>
    <row r="5" spans="1:2" ht="45">
      <c r="A5" s="31" t="s">
        <v>2</v>
      </c>
      <c r="B5" s="32" t="s">
        <v>36</v>
      </c>
    </row>
    <row r="6" spans="1:2" ht="30">
      <c r="A6" s="33" t="s">
        <v>28</v>
      </c>
      <c r="B6" s="34" t="s">
        <v>38</v>
      </c>
    </row>
    <row r="7" spans="1:2" ht="30">
      <c r="A7" s="33" t="s">
        <v>7</v>
      </c>
      <c r="B7" s="35" t="s">
        <v>40</v>
      </c>
    </row>
    <row r="8" spans="1:2" ht="30.75" thickBot="1">
      <c r="A8" s="36" t="s">
        <v>8</v>
      </c>
      <c r="B8" s="37" t="s">
        <v>39</v>
      </c>
    </row>
    <row r="9" spans="1:2" ht="60.75" thickBot="1">
      <c r="A9" s="20" t="s">
        <v>30</v>
      </c>
      <c r="B9" s="21" t="s">
        <v>44</v>
      </c>
    </row>
    <row r="10" spans="1:2" ht="45">
      <c r="A10" s="22" t="s">
        <v>3</v>
      </c>
      <c r="B10" s="23" t="s">
        <v>45</v>
      </c>
    </row>
    <row r="11" spans="1:2" ht="45">
      <c r="A11" s="24" t="s">
        <v>12</v>
      </c>
      <c r="B11" s="25" t="s">
        <v>46</v>
      </c>
    </row>
    <row r="12" spans="1:2" ht="45.75" thickBot="1">
      <c r="A12" s="24" t="s">
        <v>19</v>
      </c>
      <c r="B12" s="25" t="s">
        <v>82</v>
      </c>
    </row>
    <row r="13" spans="1:2" ht="33" hidden="1">
      <c r="A13" s="24" t="s">
        <v>4</v>
      </c>
      <c r="B13" s="25"/>
    </row>
    <row r="14" spans="1:2" hidden="1">
      <c r="A14" s="24" t="s">
        <v>9</v>
      </c>
      <c r="B14" s="25"/>
    </row>
    <row r="15" spans="1:2" hidden="1">
      <c r="A15" s="24" t="s">
        <v>10</v>
      </c>
      <c r="B15" s="25"/>
    </row>
    <row r="16" spans="1:2" hidden="1">
      <c r="A16" s="24" t="s">
        <v>11</v>
      </c>
      <c r="B16" s="25"/>
    </row>
    <row r="17" spans="1:2" ht="15.75" hidden="1" thickBot="1">
      <c r="A17" s="26" t="s">
        <v>25</v>
      </c>
      <c r="B17" s="27"/>
    </row>
    <row r="18" spans="1:2" ht="30.75" thickBot="1">
      <c r="A18" s="14" t="s">
        <v>31</v>
      </c>
      <c r="B18" s="15" t="s">
        <v>47</v>
      </c>
    </row>
    <row r="19" spans="1:2" ht="45">
      <c r="A19" s="16" t="s">
        <v>42</v>
      </c>
      <c r="B19" s="17" t="s">
        <v>49</v>
      </c>
    </row>
    <row r="20" spans="1:2" ht="30.75" thickBot="1">
      <c r="A20" s="18" t="s">
        <v>41</v>
      </c>
      <c r="B20" s="19" t="s">
        <v>50</v>
      </c>
    </row>
  </sheetData>
  <sheetProtection sheet="1" objects="1" scenarios="1"/>
  <mergeCells count="1">
    <mergeCell ref="A1:B1"/>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sheetPr codeName="Sheet6"/>
  <dimension ref="A1"/>
  <sheetViews>
    <sheetView workbookViewId="0"/>
  </sheetViews>
  <sheetFormatPr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3"/>
  <dimension ref="A1:K29"/>
  <sheetViews>
    <sheetView topLeftCell="C1" workbookViewId="0">
      <selection activeCell="J4" sqref="J4:J8"/>
    </sheetView>
  </sheetViews>
  <sheetFormatPr defaultRowHeight="15"/>
  <cols>
    <col min="1" max="1" width="21.5703125" bestFit="1" customWidth="1"/>
    <col min="4" max="4" width="21.85546875" bestFit="1" customWidth="1"/>
    <col min="8" max="8" width="12.28515625" customWidth="1"/>
    <col min="10" max="11" width="12.140625" bestFit="1" customWidth="1"/>
  </cols>
  <sheetData>
    <row r="1" spans="1:11">
      <c r="A1" s="3" t="s">
        <v>26</v>
      </c>
      <c r="D1" s="39" t="s">
        <v>32</v>
      </c>
      <c r="E1" s="39" t="s">
        <v>33</v>
      </c>
      <c r="H1" s="3" t="s">
        <v>51</v>
      </c>
    </row>
    <row r="2" spans="1:11">
      <c r="A2" s="3" t="s">
        <v>29</v>
      </c>
      <c r="B2" t="s">
        <v>34</v>
      </c>
      <c r="D2" s="41">
        <v>34.35</v>
      </c>
      <c r="E2" s="38">
        <v>6</v>
      </c>
      <c r="H2" s="38"/>
      <c r="I2" s="38" t="s">
        <v>78</v>
      </c>
      <c r="J2" s="38" t="s">
        <v>62</v>
      </c>
      <c r="K2" s="38" t="s">
        <v>63</v>
      </c>
    </row>
    <row r="3" spans="1:11">
      <c r="A3" s="5" t="s">
        <v>6</v>
      </c>
      <c r="B3" s="5">
        <v>40</v>
      </c>
      <c r="D3" s="41">
        <f>D2*1.2</f>
        <v>41.22</v>
      </c>
      <c r="E3" s="38">
        <v>5</v>
      </c>
      <c r="H3" s="38" t="s">
        <v>52</v>
      </c>
      <c r="I3" s="90">
        <v>17767.230500000001</v>
      </c>
      <c r="J3" s="90">
        <v>13892.022000000001</v>
      </c>
      <c r="K3" s="90">
        <v>10016.8135</v>
      </c>
    </row>
    <row r="4" spans="1:11">
      <c r="A4" s="5" t="s">
        <v>0</v>
      </c>
      <c r="B4" s="5">
        <v>35</v>
      </c>
      <c r="D4" s="41">
        <f>D2*1.4</f>
        <v>48.089999999999996</v>
      </c>
      <c r="E4" s="38">
        <v>4</v>
      </c>
      <c r="H4" s="38" t="s">
        <v>75</v>
      </c>
      <c r="I4" s="90">
        <v>11.003500000000001</v>
      </c>
      <c r="J4" s="90">
        <v>5.5017500000000004</v>
      </c>
      <c r="K4" s="90">
        <v>0</v>
      </c>
    </row>
    <row r="5" spans="1:11">
      <c r="A5" s="5" t="s">
        <v>1</v>
      </c>
      <c r="B5" s="5">
        <v>25</v>
      </c>
      <c r="D5" s="41">
        <f>D2*1.6</f>
        <v>54.960000000000008</v>
      </c>
      <c r="E5" s="38">
        <v>3</v>
      </c>
      <c r="H5" s="38" t="s">
        <v>54</v>
      </c>
      <c r="I5" s="90">
        <v>65546.05</v>
      </c>
      <c r="J5" s="90">
        <v>48071.474250000007</v>
      </c>
      <c r="K5" s="90">
        <v>30596.898500000003</v>
      </c>
    </row>
    <row r="6" spans="1:11">
      <c r="A6" s="6" t="s">
        <v>27</v>
      </c>
      <c r="B6" s="5">
        <f>SUM(B3:B5)</f>
        <v>100</v>
      </c>
      <c r="D6" s="41">
        <f>D2*1.8</f>
        <v>61.830000000000005</v>
      </c>
      <c r="E6" s="38">
        <v>2</v>
      </c>
      <c r="H6" s="38" t="s">
        <v>53</v>
      </c>
      <c r="I6" s="90">
        <v>94.4</v>
      </c>
      <c r="J6" s="90">
        <v>78.838750000000005</v>
      </c>
      <c r="K6" s="90">
        <v>63.277500000000003</v>
      </c>
    </row>
    <row r="7" spans="1:11">
      <c r="A7" s="7"/>
      <c r="B7" s="7"/>
      <c r="D7" s="41">
        <f>D2*2</f>
        <v>68.7</v>
      </c>
      <c r="E7" s="38">
        <v>1</v>
      </c>
      <c r="H7" s="38" t="s">
        <v>55</v>
      </c>
      <c r="I7" s="90">
        <v>5669.9000000000005</v>
      </c>
      <c r="J7" s="90">
        <v>4562.1897500000005</v>
      </c>
      <c r="K7" s="90">
        <v>3454.4795000000004</v>
      </c>
    </row>
    <row r="8" spans="1:11">
      <c r="A8" s="8" t="s">
        <v>6</v>
      </c>
      <c r="B8" s="9" t="s">
        <v>34</v>
      </c>
      <c r="C8" s="4"/>
      <c r="H8" s="42" t="s">
        <v>56</v>
      </c>
      <c r="I8" s="91">
        <v>3300</v>
      </c>
      <c r="J8" s="91">
        <v>5200</v>
      </c>
      <c r="K8" s="91">
        <v>4400</v>
      </c>
    </row>
    <row r="9" spans="1:11">
      <c r="A9" s="5" t="s">
        <v>2</v>
      </c>
      <c r="B9" s="5">
        <v>30</v>
      </c>
      <c r="D9" s="39" t="s">
        <v>13</v>
      </c>
      <c r="E9" s="38"/>
    </row>
    <row r="10" spans="1:11">
      <c r="A10" s="5" t="s">
        <v>28</v>
      </c>
      <c r="B10" s="5">
        <v>20</v>
      </c>
      <c r="D10" s="40">
        <v>100</v>
      </c>
      <c r="E10" s="38">
        <v>6</v>
      </c>
    </row>
    <row r="11" spans="1:11">
      <c r="A11" s="10" t="s">
        <v>7</v>
      </c>
      <c r="B11" s="5">
        <v>20</v>
      </c>
      <c r="D11" s="40">
        <v>99</v>
      </c>
      <c r="E11" s="38">
        <v>5</v>
      </c>
    </row>
    <row r="12" spans="1:11">
      <c r="A12" s="10" t="s">
        <v>8</v>
      </c>
      <c r="B12" s="5">
        <v>30</v>
      </c>
      <c r="D12" s="40">
        <v>50</v>
      </c>
      <c r="E12" s="38">
        <v>4</v>
      </c>
    </row>
    <row r="13" spans="1:11">
      <c r="A13" s="6" t="s">
        <v>27</v>
      </c>
      <c r="B13" s="5">
        <f>SUM(Total_CustomerCo_Weight)</f>
        <v>100</v>
      </c>
      <c r="D13" s="40">
        <v>30</v>
      </c>
      <c r="E13" s="38">
        <v>3</v>
      </c>
    </row>
    <row r="14" spans="1:11">
      <c r="A14" s="7"/>
      <c r="B14" s="7"/>
      <c r="D14" s="40">
        <v>0</v>
      </c>
      <c r="E14" s="38">
        <v>1</v>
      </c>
    </row>
    <row r="15" spans="1:11">
      <c r="A15" s="8" t="s">
        <v>30</v>
      </c>
      <c r="B15" s="7" t="s">
        <v>34</v>
      </c>
    </row>
    <row r="16" spans="1:11">
      <c r="A16" s="10" t="s">
        <v>3</v>
      </c>
      <c r="B16" s="5">
        <v>50</v>
      </c>
      <c r="D16" s="39" t="s">
        <v>14</v>
      </c>
      <c r="E16" s="38"/>
    </row>
    <row r="17" spans="1:5">
      <c r="A17" s="10" t="s">
        <v>12</v>
      </c>
      <c r="B17" s="5">
        <v>25</v>
      </c>
      <c r="D17" s="38" t="s">
        <v>16</v>
      </c>
      <c r="E17" s="38">
        <v>6</v>
      </c>
    </row>
    <row r="18" spans="1:5">
      <c r="A18" s="10" t="s">
        <v>19</v>
      </c>
      <c r="B18" s="5">
        <v>25</v>
      </c>
      <c r="D18" s="38" t="s">
        <v>17</v>
      </c>
      <c r="E18" s="38">
        <v>5</v>
      </c>
    </row>
    <row r="19" spans="1:5" ht="33">
      <c r="A19" s="10" t="s">
        <v>4</v>
      </c>
      <c r="B19" s="5">
        <v>0</v>
      </c>
      <c r="D19" s="38" t="s">
        <v>18</v>
      </c>
      <c r="E19" s="38">
        <v>3</v>
      </c>
    </row>
    <row r="20" spans="1:5">
      <c r="A20" s="10" t="s">
        <v>9</v>
      </c>
      <c r="B20" s="5">
        <v>0</v>
      </c>
      <c r="D20" s="38" t="s">
        <v>15</v>
      </c>
      <c r="E20" s="38">
        <v>1</v>
      </c>
    </row>
    <row r="21" spans="1:5">
      <c r="A21" s="10" t="s">
        <v>10</v>
      </c>
      <c r="B21" s="5">
        <v>0</v>
      </c>
    </row>
    <row r="22" spans="1:5">
      <c r="A22" s="10" t="s">
        <v>11</v>
      </c>
      <c r="B22" s="5">
        <v>0</v>
      </c>
      <c r="D22" s="39" t="s">
        <v>20</v>
      </c>
      <c r="E22" s="38"/>
    </row>
    <row r="23" spans="1:5">
      <c r="A23" s="10" t="s">
        <v>25</v>
      </c>
      <c r="B23" s="5">
        <v>0</v>
      </c>
      <c r="D23" s="38" t="s">
        <v>21</v>
      </c>
      <c r="E23" s="38">
        <v>6</v>
      </c>
    </row>
    <row r="24" spans="1:5">
      <c r="A24" s="6" t="s">
        <v>27</v>
      </c>
      <c r="B24" s="5">
        <f>SUM(Total_EnvironmentalCo_Weight)</f>
        <v>100</v>
      </c>
      <c r="D24" s="38" t="s">
        <v>22</v>
      </c>
      <c r="E24" s="38">
        <v>3</v>
      </c>
    </row>
    <row r="25" spans="1:5">
      <c r="A25" s="7"/>
      <c r="B25" s="7"/>
      <c r="D25" s="38" t="s">
        <v>23</v>
      </c>
      <c r="E25" s="38">
        <v>5</v>
      </c>
    </row>
    <row r="26" spans="1:5">
      <c r="A26" s="11" t="s">
        <v>31</v>
      </c>
      <c r="B26" s="7" t="s">
        <v>34</v>
      </c>
      <c r="D26" s="38" t="s">
        <v>24</v>
      </c>
      <c r="E26" s="38">
        <v>1</v>
      </c>
    </row>
    <row r="27" spans="1:5" ht="45">
      <c r="A27" s="12" t="s">
        <v>42</v>
      </c>
      <c r="B27" s="5">
        <v>10</v>
      </c>
      <c r="D27" s="3"/>
    </row>
    <row r="28" spans="1:5" ht="30">
      <c r="A28" s="2" t="s">
        <v>41</v>
      </c>
      <c r="B28" s="5">
        <v>90</v>
      </c>
    </row>
    <row r="29" spans="1:5">
      <c r="A29" s="6" t="s">
        <v>27</v>
      </c>
      <c r="B29" s="38">
        <f>SUM(Total_SocialCo_Weight)</f>
        <v>100</v>
      </c>
    </row>
  </sheetData>
  <conditionalFormatting sqref="B6">
    <cfRule type="cellIs" dxfId="3" priority="5" operator="notEqual">
      <formula>100</formula>
    </cfRule>
  </conditionalFormatting>
  <conditionalFormatting sqref="B13">
    <cfRule type="cellIs" dxfId="2" priority="4" operator="notEqual">
      <formula>100</formula>
    </cfRule>
  </conditionalFormatting>
  <conditionalFormatting sqref="B24">
    <cfRule type="cellIs" dxfId="1" priority="3" operator="notEqual">
      <formula>100</formula>
    </cfRule>
  </conditionalFormatting>
  <conditionalFormatting sqref="B29">
    <cfRule type="cellIs" dxfId="0" priority="1" operator="notEqual">
      <formula>100</formula>
    </cfRule>
    <cfRule type="cellIs" priority="2" operator="notEqual">
      <formula>100</formula>
    </cfRule>
  </conditionalFormatting>
  <dataValidations count="5">
    <dataValidation type="whole" allowBlank="1" showInputMessage="1" showErrorMessage="1" errorTitle="Invalid Weight Assignment" error="You may only assign a weight between 25 and 50" promptTitle="Weight Assignment" prompt="This aspect of the balanced scorecard is limited to a minimum weight of 25 and a maximum weight of 50." sqref="C2:C4 B3:B5">
      <formula1>25</formula1>
      <formula2>50</formula2>
    </dataValidation>
    <dataValidation type="whole" operator="equal" allowBlank="1" showInputMessage="1" showErrorMessage="1" sqref="C5">
      <formula1>100</formula1>
    </dataValidation>
    <dataValidation type="custom" operator="equal" showErrorMessage="1" errorTitle="Invalid Weight Assignment" error="Assigned weights across each category must total 100." prompt="Assigned weights across each category must total 100." sqref="B6">
      <formula1>SUM(B3:B5) = 100</formula1>
    </dataValidation>
    <dataValidation type="custom" errorStyle="warning" allowBlank="1" showErrorMessage="1" errorTitle="Invalid Weight Assignment" error="All of the weights for the subcategories must sum to equal 100." sqref="B24">
      <formula1>SUM(B17:B24) = 100</formula1>
    </dataValidation>
    <dataValidation type="custom" errorStyle="warning" allowBlank="1" showInputMessage="1" showErrorMessage="1" errorTitle="Invalid Weight Assignments" error="All of the weights for the subcategories must sum to equal 100." sqref="B13">
      <formula1>SUM(B10:B13) = 100</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Balanced Scorecard Landing Page</vt:lpstr>
      <vt:lpstr>Office Paper</vt:lpstr>
      <vt:lpstr>Office Paper Data Inputs</vt:lpstr>
      <vt:lpstr>Office Paper Impact</vt:lpstr>
      <vt:lpstr>Ratings Explanation</vt:lpstr>
      <vt:lpstr>Sheet1</vt:lpstr>
      <vt:lpstr>Office Paper Settings</vt:lpstr>
      <vt:lpstr>BleachingProcess</vt:lpstr>
      <vt:lpstr>Certification</vt:lpstr>
      <vt:lpstr>GW_Top_Paper_Products</vt:lpstr>
      <vt:lpstr>GW_Top_Papers</vt:lpstr>
      <vt:lpstr>Total_Components_Weight</vt:lpstr>
      <vt:lpstr>Total_CustomerCo_Weight</vt:lpstr>
      <vt:lpstr>Total_EnvironmentalCo_Weight</vt:lpstr>
      <vt:lpstr>Total_SocialCo_Weight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Abhijit</cp:lastModifiedBy>
  <dcterms:created xsi:type="dcterms:W3CDTF">2012-05-02T15:52:06Z</dcterms:created>
  <dcterms:modified xsi:type="dcterms:W3CDTF">2013-01-22T19:01:05Z</dcterms:modified>
</cp:coreProperties>
</file>